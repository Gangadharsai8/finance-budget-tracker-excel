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5e404bce0aa546e/Documents/"/>
    </mc:Choice>
  </mc:AlternateContent>
  <xr:revisionPtr revIDLastSave="16" documentId="8_{6E4C7B6D-95D7-4327-A0DC-5FC38ED451B0}" xr6:coauthVersionLast="47" xr6:coauthVersionMax="47" xr10:uidLastSave="{E83ED3A0-F9C4-4021-842D-9286B8FEFD87}"/>
  <bookViews>
    <workbookView xWindow="-108" yWindow="-108" windowWidth="23256" windowHeight="12456" activeTab="1" xr2:uid="{00000000-000D-0000-FFFF-FFFF00000000}"/>
  </bookViews>
  <sheets>
    <sheet name="Dashboard" sheetId="8" r:id="rId1"/>
    <sheet name="Transactions" sheetId="1" r:id="rId2"/>
    <sheet name="KPIs" sheetId="7" r:id="rId3"/>
    <sheet name="PT_BudgetVsActual" sheetId="5" r:id="rId4"/>
    <sheet name="PT_Recurring" sheetId="6" r:id="rId5"/>
    <sheet name="PT_Trend" sheetId="3" r:id="rId6"/>
    <sheet name="PT_Category" sheetId="4" r:id="rId7"/>
  </sheets>
  <definedNames>
    <definedName name="_xlnm._FilterDatabase" localSheetId="1" hidden="1">Transactions!$A$1:$L$1001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8" l="1"/>
  <c r="R2" i="8"/>
  <c r="N2" i="8"/>
  <c r="J2" i="8"/>
  <c r="F2" i="8"/>
  <c r="B2" i="8"/>
  <c r="B7" i="7"/>
  <c r="B12" i="7"/>
  <c r="B13" i="7"/>
  <c r="B14" i="7"/>
  <c r="B15" i="7"/>
  <c r="B16" i="7"/>
  <c r="B17" i="7"/>
  <c r="B18" i="7"/>
  <c r="B19" i="7"/>
  <c r="B20" i="7"/>
  <c r="B11" i="7"/>
  <c r="B6" i="7"/>
  <c r="B5" i="7"/>
  <c r="B4" i="7"/>
  <c r="B3" i="7"/>
  <c r="B2" i="7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<sst xmlns="http://schemas.openxmlformats.org/spreadsheetml/2006/main" count="9113" uniqueCount="1155">
  <si>
    <t>Transaction ID</t>
  </si>
  <si>
    <t>Date</t>
  </si>
  <si>
    <t>Month</t>
  </si>
  <si>
    <t>Type</t>
  </si>
  <si>
    <t>Category</t>
  </si>
  <si>
    <t>Sub-Category</t>
  </si>
  <si>
    <t>Description</t>
  </si>
  <si>
    <t>Payment Method</t>
  </si>
  <si>
    <t>Amount</t>
  </si>
  <si>
    <t>Budgeted Amount</t>
  </si>
  <si>
    <t>Account</t>
  </si>
  <si>
    <t>Recurring</t>
  </si>
  <si>
    <t>TXN-20988</t>
  </si>
  <si>
    <t>Jan-2024</t>
  </si>
  <si>
    <t>Expense</t>
  </si>
  <si>
    <t>Loan EMI</t>
  </si>
  <si>
    <t>Personal Loan EMI</t>
  </si>
  <si>
    <t>Personal Loan EMI payment</t>
  </si>
  <si>
    <t>Credit Card</t>
  </si>
  <si>
    <t>SBI Salary A/c</t>
  </si>
  <si>
    <t>Yes</t>
  </si>
  <si>
    <t>TXN-20310</t>
  </si>
  <si>
    <t>Entertainment</t>
  </si>
  <si>
    <t>Movies</t>
  </si>
  <si>
    <t>Movies payment</t>
  </si>
  <si>
    <t>Net Banking</t>
  </si>
  <si>
    <t>Cash Wallet</t>
  </si>
  <si>
    <t>No</t>
  </si>
  <si>
    <t>TXN-20978</t>
  </si>
  <si>
    <t>Utilities</t>
  </si>
  <si>
    <t>Internet Bill</t>
  </si>
  <si>
    <t>Internet Bill payment</t>
  </si>
  <si>
    <t>Cash</t>
  </si>
  <si>
    <t>TXN-20461</t>
  </si>
  <si>
    <t>Shopping</t>
  </si>
  <si>
    <t>Electronics</t>
  </si>
  <si>
    <t>Electronics payment</t>
  </si>
  <si>
    <t>UPI</t>
  </si>
  <si>
    <t>ICICI Credit Card</t>
  </si>
  <si>
    <t>TXN-20545</t>
  </si>
  <si>
    <t>Groceries</t>
  </si>
  <si>
    <t>Supermarket</t>
  </si>
  <si>
    <t>Supermarket payment</t>
  </si>
  <si>
    <t>TXN-20592</t>
  </si>
  <si>
    <t>Rent</t>
  </si>
  <si>
    <t>House Rent</t>
  </si>
  <si>
    <t>House Rent payment</t>
  </si>
  <si>
    <t>HDFC Savings</t>
  </si>
  <si>
    <t>TXN-20744</t>
  </si>
  <si>
    <t>Transport</t>
  </si>
  <si>
    <t>Cab/Taxi</t>
  </si>
  <si>
    <t>Cab/Taxi payment</t>
  </si>
  <si>
    <t>Debit Card</t>
  </si>
  <si>
    <t>TXN-20184</t>
  </si>
  <si>
    <t>Income</t>
  </si>
  <si>
    <t>Salary</t>
  </si>
  <si>
    <t>Monthly Salary</t>
  </si>
  <si>
    <t>Monthly Salary received</t>
  </si>
  <si>
    <t>TXN-20096</t>
  </si>
  <si>
    <t>TXN-20878</t>
  </si>
  <si>
    <t>Home Loan EMI</t>
  </si>
  <si>
    <t>Home Loan EMI payment</t>
  </si>
  <si>
    <t>TXN-20755</t>
  </si>
  <si>
    <t>TXN-20315</t>
  </si>
  <si>
    <t>TXN-20938</t>
  </si>
  <si>
    <t>TXN-20901</t>
  </si>
  <si>
    <t>Streaming Subscription</t>
  </si>
  <si>
    <t>Streaming Subscription payment</t>
  </si>
  <si>
    <t>TXN-20943</t>
  </si>
  <si>
    <t>TXN-20842</t>
  </si>
  <si>
    <t>TXN-20453</t>
  </si>
  <si>
    <t>TXN-20745</t>
  </si>
  <si>
    <t>Education</t>
  </si>
  <si>
    <t>Books</t>
  </si>
  <si>
    <t>Books payment</t>
  </si>
  <si>
    <t>TXN-20891</t>
  </si>
  <si>
    <t>TXN-20200</t>
  </si>
  <si>
    <t>Public Transport</t>
  </si>
  <si>
    <t>Public Transport payment</t>
  </si>
  <si>
    <t>TXN-20512</t>
  </si>
  <si>
    <t>Mobile Recharge</t>
  </si>
  <si>
    <t>Mobile Recharge payment</t>
  </si>
  <si>
    <t>TXN-20422</t>
  </si>
  <si>
    <t>Car Loan EMI</t>
  </si>
  <si>
    <t>Car Loan EMI payment</t>
  </si>
  <si>
    <t>TXN-20462</t>
  </si>
  <si>
    <t>TXN-20014</t>
  </si>
  <si>
    <t>Freelance</t>
  </si>
  <si>
    <t>Project Payment</t>
  </si>
  <si>
    <t>Project Payment received</t>
  </si>
  <si>
    <t>TXN-20863</t>
  </si>
  <si>
    <t>TXN-20743</t>
  </si>
  <si>
    <t>TXN-20251</t>
  </si>
  <si>
    <t>TXN-20227</t>
  </si>
  <si>
    <t>Clothing</t>
  </si>
  <si>
    <t>Clothing payment</t>
  </si>
  <si>
    <t>TXN-20739</t>
  </si>
  <si>
    <t>Local Market</t>
  </si>
  <si>
    <t>Local Market payment</t>
  </si>
  <si>
    <t>TXN-20672</t>
  </si>
  <si>
    <t>TXN-20564</t>
  </si>
  <si>
    <t>TXN-20212</t>
  </si>
  <si>
    <t>TXN-20982</t>
  </si>
  <si>
    <t>TXN-20259</t>
  </si>
  <si>
    <t>Healthcare</t>
  </si>
  <si>
    <t>Pharmacy</t>
  </si>
  <si>
    <t>Pharmacy payment</t>
  </si>
  <si>
    <t>TXN-20586</t>
  </si>
  <si>
    <t>TXN-20852</t>
  </si>
  <si>
    <t>Electricity Bill</t>
  </si>
  <si>
    <t>Electricity Bill payment</t>
  </si>
  <si>
    <t>TXN-20392</t>
  </si>
  <si>
    <t>Savings/Investment</t>
  </si>
  <si>
    <t>Mutual Fund SIP</t>
  </si>
  <si>
    <t>Mutual Fund SIP payment</t>
  </si>
  <si>
    <t>TXN-20761</t>
  </si>
  <si>
    <t>TXN-20715</t>
  </si>
  <si>
    <t>TXN-20403</t>
  </si>
  <si>
    <t>TXN-20040</t>
  </si>
  <si>
    <t>TXN-20729</t>
  </si>
  <si>
    <t>TXN-20454</t>
  </si>
  <si>
    <t>TXN-20777</t>
  </si>
  <si>
    <t>TXN-20107</t>
  </si>
  <si>
    <t>TXN-20411</t>
  </si>
  <si>
    <t>TXN-20432</t>
  </si>
  <si>
    <t>TXN-20776</t>
  </si>
  <si>
    <t>TXN-20568</t>
  </si>
  <si>
    <t>Feb-2024</t>
  </si>
  <si>
    <t>TXN-20548</t>
  </si>
  <si>
    <t>TXN-20095</t>
  </si>
  <si>
    <t>TXN-20814</t>
  </si>
  <si>
    <t>TXN-20538</t>
  </si>
  <si>
    <t>Course Fee</t>
  </si>
  <si>
    <t>Course Fee payment</t>
  </si>
  <si>
    <t>TXN-20721</t>
  </si>
  <si>
    <t>Fixed Deposit</t>
  </si>
  <si>
    <t>Fixed Deposit payment</t>
  </si>
  <si>
    <t>TXN-20269</t>
  </si>
  <si>
    <t>TXN-20066</t>
  </si>
  <si>
    <t>TXN-20683</t>
  </si>
  <si>
    <t>TXN-20326</t>
  </si>
  <si>
    <t>TXN-20008</t>
  </si>
  <si>
    <t>TXN-20605</t>
  </si>
  <si>
    <t>TXN-20103</t>
  </si>
  <si>
    <t>TXN-20752</t>
  </si>
  <si>
    <t>TXN-20714</t>
  </si>
  <si>
    <t>TXN-20109</t>
  </si>
  <si>
    <t>TXN-20757</t>
  </si>
  <si>
    <t>TXN-20965</t>
  </si>
  <si>
    <t>TXN-20984</t>
  </si>
  <si>
    <t>TXN-20560</t>
  </si>
  <si>
    <t>TXN-20234</t>
  </si>
  <si>
    <t>TXN-20383</t>
  </si>
  <si>
    <t>TXN-20517</t>
  </si>
  <si>
    <t>Outing</t>
  </si>
  <si>
    <t>Outing payment</t>
  </si>
  <si>
    <t>TXN-20373</t>
  </si>
  <si>
    <t>Online Shopping</t>
  </si>
  <si>
    <t>Online Shopping payment</t>
  </si>
  <si>
    <t>TXN-20660</t>
  </si>
  <si>
    <t>TXN-20354</t>
  </si>
  <si>
    <t>TXN-20926</t>
  </si>
  <si>
    <t>TXN-20278</t>
  </si>
  <si>
    <t>Health Insurance</t>
  </si>
  <si>
    <t>Health Insurance payment</t>
  </si>
  <si>
    <t>TXN-20358</t>
  </si>
  <si>
    <t>TXN-20625</t>
  </si>
  <si>
    <t>TXN-20350</t>
  </si>
  <si>
    <t>TXN-20019</t>
  </si>
  <si>
    <t>TXN-20217</t>
  </si>
  <si>
    <t>TXN-20706</t>
  </si>
  <si>
    <t>TXN-20703</t>
  </si>
  <si>
    <t>TXN-20836</t>
  </si>
  <si>
    <t>TXN-20494</t>
  </si>
  <si>
    <t>TXN-20108</t>
  </si>
  <si>
    <t>TXN-20266</t>
  </si>
  <si>
    <t>Consulting Fee</t>
  </si>
  <si>
    <t>Consulting Fee received</t>
  </si>
  <si>
    <t>TXN-20236</t>
  </si>
  <si>
    <t>TXN-20639</t>
  </si>
  <si>
    <t>Fuel</t>
  </si>
  <si>
    <t>Fuel payment</t>
  </si>
  <si>
    <t>TXN-20935</t>
  </si>
  <si>
    <t>TXN-20288</t>
  </si>
  <si>
    <t>Doctor Visit</t>
  </si>
  <si>
    <t>Doctor Visit payment</t>
  </si>
  <si>
    <t>TXN-20319</t>
  </si>
  <si>
    <t>TXN-20665</t>
  </si>
  <si>
    <t>TXN-20792</t>
  </si>
  <si>
    <t>TXN-20902</t>
  </si>
  <si>
    <t>TXN-20290</t>
  </si>
  <si>
    <t>TXN-20479</t>
  </si>
  <si>
    <t>TXN-20130</t>
  </si>
  <si>
    <t>Stocks</t>
  </si>
  <si>
    <t>Stocks payment</t>
  </si>
  <si>
    <t>TXN-20861</t>
  </si>
  <si>
    <t>TXN-20783</t>
  </si>
  <si>
    <t>TXN-20529</t>
  </si>
  <si>
    <t>TXN-20953</t>
  </si>
  <si>
    <t>TXN-20573</t>
  </si>
  <si>
    <t>TXN-20041</t>
  </si>
  <si>
    <t>TXN-20898</t>
  </si>
  <si>
    <t>TXN-20585</t>
  </si>
  <si>
    <t>Mar-2024</t>
  </si>
  <si>
    <t>TXN-20820</t>
  </si>
  <si>
    <t>TXN-20414</t>
  </si>
  <si>
    <t>TXN-20244</t>
  </si>
  <si>
    <t>TXN-20194</t>
  </si>
  <si>
    <t>TXN-20246</t>
  </si>
  <si>
    <t>Investment</t>
  </si>
  <si>
    <t>Interest Income</t>
  </si>
  <si>
    <t>Interest Income received</t>
  </si>
  <si>
    <t>TXN-20250</t>
  </si>
  <si>
    <t>TXN-20235</t>
  </si>
  <si>
    <t>TXN-20997</t>
  </si>
  <si>
    <t>TXN-20025</t>
  </si>
  <si>
    <t>TXN-20444</t>
  </si>
  <si>
    <t>TXN-20904</t>
  </si>
  <si>
    <t>TXN-20208</t>
  </si>
  <si>
    <t>TXN-20222</t>
  </si>
  <si>
    <t>TXN-20940</t>
  </si>
  <si>
    <t>TXN-20883</t>
  </si>
  <si>
    <t>TXN-20044</t>
  </si>
  <si>
    <t>TXN-20632</t>
  </si>
  <si>
    <t>TXN-20702</t>
  </si>
  <si>
    <t>TXN-20968</t>
  </si>
  <si>
    <t>TXN-20613</t>
  </si>
  <si>
    <t>TXN-20697</t>
  </si>
  <si>
    <t>TXN-20925</t>
  </si>
  <si>
    <t>TXN-20522</t>
  </si>
  <si>
    <t>TXN-20345</t>
  </si>
  <si>
    <t>TXN-20685</t>
  </si>
  <si>
    <t>TXN-20655</t>
  </si>
  <si>
    <t>TXN-20955</t>
  </si>
  <si>
    <t>TXN-20347</t>
  </si>
  <si>
    <t>TXN-20472</t>
  </si>
  <si>
    <t>TXN-20178</t>
  </si>
  <si>
    <t>TXN-20337</t>
  </si>
  <si>
    <t>Water Bill</t>
  </si>
  <si>
    <t>Water Bill payment</t>
  </si>
  <si>
    <t>TXN-20115</t>
  </si>
  <si>
    <t>TXN-20961</t>
  </si>
  <si>
    <t>TXN-20214</t>
  </si>
  <si>
    <t>TXN-20547</t>
  </si>
  <si>
    <t>TXN-20790</t>
  </si>
  <si>
    <t>TXN-20565</t>
  </si>
  <si>
    <t>TXN-20417</t>
  </si>
  <si>
    <t>TXN-20112</t>
  </si>
  <si>
    <t>TXN-20102</t>
  </si>
  <si>
    <t>TXN-20966</t>
  </si>
  <si>
    <t>TXN-20999</t>
  </si>
  <si>
    <t>TXN-20092</t>
  </si>
  <si>
    <t>TXN-20468</t>
  </si>
  <si>
    <t>TXN-20737</t>
  </si>
  <si>
    <t>TXN-20164</t>
  </si>
  <si>
    <t>TXN-20666</t>
  </si>
  <si>
    <t>TXN-20493</t>
  </si>
  <si>
    <t>TXN-20264</t>
  </si>
  <si>
    <t>TXN-20818</t>
  </si>
  <si>
    <t>TXN-20156</t>
  </si>
  <si>
    <t>TXN-20530</t>
  </si>
  <si>
    <t>TXN-20990</t>
  </si>
  <si>
    <t>TXN-20404</t>
  </si>
  <si>
    <t>Apr-2024</t>
  </si>
  <si>
    <t>TXN-20154</t>
  </si>
  <si>
    <t>TXN-20026</t>
  </si>
  <si>
    <t>TXN-20567</t>
  </si>
  <si>
    <t>TXN-20144</t>
  </si>
  <si>
    <t>TXN-20855</t>
  </si>
  <si>
    <t>TXN-20950</t>
  </si>
  <si>
    <t>TXN-20582</t>
  </si>
  <si>
    <t>TXN-20143</t>
  </si>
  <si>
    <t>TXN-20787</t>
  </si>
  <si>
    <t>TXN-20612</t>
  </si>
  <si>
    <t>TXN-20330</t>
  </si>
  <si>
    <t>TXN-20061</t>
  </si>
  <si>
    <t>TXN-20394</t>
  </si>
  <si>
    <t>TXN-20821</t>
  </si>
  <si>
    <t>TXN-20174</t>
  </si>
  <si>
    <t>TXN-20225</t>
  </si>
  <si>
    <t>TXN-20798</t>
  </si>
  <si>
    <t>TXN-20313</t>
  </si>
  <si>
    <t>TXN-20495</t>
  </si>
  <si>
    <t>TXN-20924</t>
  </si>
  <si>
    <t>TXN-20192</t>
  </si>
  <si>
    <t>TXN-20627</t>
  </si>
  <si>
    <t>TXN-20583</t>
  </si>
  <si>
    <t>TXN-20930</t>
  </si>
  <si>
    <t>TXN-20504</t>
  </si>
  <si>
    <t>TXN-20179</t>
  </si>
  <si>
    <t>TXN-20903</t>
  </si>
  <si>
    <t>TXN-20509</t>
  </si>
  <si>
    <t>TXN-20346</t>
  </si>
  <si>
    <t>TXN-20770</t>
  </si>
  <si>
    <t>TXN-20204</t>
  </si>
  <si>
    <t>TXN-20181</t>
  </si>
  <si>
    <t>TXN-20758</t>
  </si>
  <si>
    <t>TXN-20719</t>
  </si>
  <si>
    <t>TXN-20864</t>
  </si>
  <si>
    <t>TXN-20436</t>
  </si>
  <si>
    <t>TXN-20318</t>
  </si>
  <si>
    <t>TXN-20190</t>
  </si>
  <si>
    <t>TXN-20764</t>
  </si>
  <si>
    <t>TXN-20556</t>
  </si>
  <si>
    <t>TXN-20485</t>
  </si>
  <si>
    <t>TXN-20939</t>
  </si>
  <si>
    <t>TXN-20659</t>
  </si>
  <si>
    <t>TXN-20480</t>
  </si>
  <si>
    <t>TXN-20282</t>
  </si>
  <si>
    <t>TXN-20361</t>
  </si>
  <si>
    <t>TXN-20971</t>
  </si>
  <si>
    <t>TXN-20598</t>
  </si>
  <si>
    <t>TXN-20801</t>
  </si>
  <si>
    <t>TXN-20316</t>
  </si>
  <si>
    <t>Dividend</t>
  </si>
  <si>
    <t>Dividend received</t>
  </si>
  <si>
    <t>TXN-20740</t>
  </si>
  <si>
    <t>TXN-20275</t>
  </si>
  <si>
    <t>TXN-20819</t>
  </si>
  <si>
    <t>TXN-20456</t>
  </si>
  <si>
    <t>TXN-20355</t>
  </si>
  <si>
    <t>TXN-20552</t>
  </si>
  <si>
    <t>TXN-20135</t>
  </si>
  <si>
    <t>May-2024</t>
  </si>
  <si>
    <t>TXN-20218</t>
  </si>
  <si>
    <t>TXN-20793</t>
  </si>
  <si>
    <t>TXN-20139</t>
  </si>
  <si>
    <t>TXN-20609</t>
  </si>
  <si>
    <t>TXN-20457</t>
  </si>
  <si>
    <t>TXN-20907</t>
  </si>
  <si>
    <t>TXN-20670</t>
  </si>
  <si>
    <t>TXN-20173</t>
  </si>
  <si>
    <t>TXN-20438</t>
  </si>
  <si>
    <t>TXN-20976</t>
  </si>
  <si>
    <t>TXN-20104</t>
  </si>
  <si>
    <t>TXN-20496</t>
  </si>
  <si>
    <t>TXN-20159</t>
  </si>
  <si>
    <t>TXN-20364</t>
  </si>
  <si>
    <t>TXN-20515</t>
  </si>
  <si>
    <t>TXN-20122</t>
  </si>
  <si>
    <t>TXN-20880</t>
  </si>
  <si>
    <t>TXN-20289</t>
  </si>
  <si>
    <t>TXN-20120</t>
  </si>
  <si>
    <t>TXN-20593</t>
  </si>
  <si>
    <t>TXN-20735</t>
  </si>
  <si>
    <t>TXN-20596</t>
  </si>
  <si>
    <t>TXN-20490</t>
  </si>
  <si>
    <t>TXN-20149</t>
  </si>
  <si>
    <t>TXN-20985</t>
  </si>
  <si>
    <t>TXN-20446</t>
  </si>
  <si>
    <t>TXN-20277</t>
  </si>
  <si>
    <t>TXN-20597</t>
  </si>
  <si>
    <t>TXN-20223</t>
  </si>
  <si>
    <t>TXN-20668</t>
  </si>
  <si>
    <t>TXN-20384</t>
  </si>
  <si>
    <t>TXN-20772</t>
  </si>
  <si>
    <t>TXN-20594</t>
  </si>
  <si>
    <t>TXN-20835</t>
  </si>
  <si>
    <t>TXN-20363</t>
  </si>
  <si>
    <t>TXN-20620</t>
  </si>
  <si>
    <t>TXN-20886</t>
  </si>
  <si>
    <t>TXN-20191</t>
  </si>
  <si>
    <t>TXN-20753</t>
  </si>
  <si>
    <t>TXN-20352</t>
  </si>
  <si>
    <t>TXN-20762</t>
  </si>
  <si>
    <t>TXN-20759</t>
  </si>
  <si>
    <t>TXN-20195</t>
  </si>
  <si>
    <t>TXN-20769</t>
  </si>
  <si>
    <t>TXN-20004</t>
  </si>
  <si>
    <t>Jun-2024</t>
  </si>
  <si>
    <t>TXN-20964</t>
  </si>
  <si>
    <t>TXN-20927</t>
  </si>
  <si>
    <t>TXN-20540</t>
  </si>
  <si>
    <t>TXN-20677</t>
  </si>
  <si>
    <t>TXN-20255</t>
  </si>
  <si>
    <t>TXN-20430</t>
  </si>
  <si>
    <t>TXN-20854</t>
  </si>
  <si>
    <t>TXN-20093</t>
  </si>
  <si>
    <t>TXN-20941</t>
  </si>
  <si>
    <t>TXN-20312</t>
  </si>
  <si>
    <t>TXN-20116</t>
  </si>
  <si>
    <t>TXN-20142</t>
  </si>
  <si>
    <t>TXN-20215</t>
  </si>
  <si>
    <t>TXN-20175</t>
  </si>
  <si>
    <t>TXN-20526</t>
  </si>
  <si>
    <t>TXN-20253</t>
  </si>
  <si>
    <t>TXN-20228</t>
  </si>
  <si>
    <t>TXN-20224</t>
  </si>
  <si>
    <t>TXN-20704</t>
  </si>
  <si>
    <t>TXN-20694</t>
  </si>
  <si>
    <t>TXN-20492</t>
  </si>
  <si>
    <t>TXN-20726</t>
  </si>
  <si>
    <t>TXN-20405</t>
  </si>
  <si>
    <t>TXN-20803</t>
  </si>
  <si>
    <t>TXN-20376</t>
  </si>
  <si>
    <t>TXN-20671</t>
  </si>
  <si>
    <t>TXN-20305</t>
  </si>
  <si>
    <t>TXN-20980</t>
  </si>
  <si>
    <t>TXN-20267</t>
  </si>
  <si>
    <t>TXN-20396</t>
  </si>
  <si>
    <t>TXN-20673</t>
  </si>
  <si>
    <t>TXN-20519</t>
  </si>
  <si>
    <t>TXN-20220</t>
  </si>
  <si>
    <t>TXN-20928</t>
  </si>
  <si>
    <t>TXN-20945</t>
  </si>
  <si>
    <t>TXN-20097</t>
  </si>
  <si>
    <t>TXN-20049</t>
  </si>
  <si>
    <t>TXN-20531</t>
  </si>
  <si>
    <t>TXN-20138</t>
  </si>
  <si>
    <t>TXN-20001</t>
  </si>
  <si>
    <t>TXN-20674</t>
  </si>
  <si>
    <t>TXN-20802</t>
  </si>
  <si>
    <t>TXN-20366</t>
  </si>
  <si>
    <t>TXN-20279</t>
  </si>
  <si>
    <t>TXN-20089</t>
  </si>
  <si>
    <t>TXN-20348</t>
  </si>
  <si>
    <t>TXN-20521</t>
  </si>
  <si>
    <t>TXN-20300</t>
  </si>
  <si>
    <t>TXN-20435</t>
  </si>
  <si>
    <t>TXN-20937</t>
  </si>
  <si>
    <t>TXN-20865</t>
  </si>
  <si>
    <t>TXN-20998</t>
  </si>
  <si>
    <t>TXN-20425</t>
  </si>
  <si>
    <t>TXN-20237</t>
  </si>
  <si>
    <t>Jul-2024</t>
  </si>
  <si>
    <t>TXN-20123</t>
  </si>
  <si>
    <t>TXN-20785</t>
  </si>
  <si>
    <t>TXN-20847</t>
  </si>
  <si>
    <t>TXN-20696</t>
  </si>
  <si>
    <t>TXN-20031</t>
  </si>
  <si>
    <t>TXN-20558</t>
  </si>
  <si>
    <t>TXN-20030</t>
  </si>
  <si>
    <t>TXN-20511</t>
  </si>
  <si>
    <t>TXN-20751</t>
  </si>
  <si>
    <t>TXN-20815</t>
  </si>
  <si>
    <t>TXN-20588</t>
  </si>
  <si>
    <t>TXN-20651</t>
  </si>
  <si>
    <t>TXN-20050</t>
  </si>
  <si>
    <t>TXN-20877</t>
  </si>
  <si>
    <t>TXN-20575</t>
  </si>
  <si>
    <t>TXN-20410</t>
  </si>
  <si>
    <t>TXN-20699</t>
  </si>
  <si>
    <t>TXN-20693</t>
  </si>
  <si>
    <t>TXN-20311</t>
  </si>
  <si>
    <t>TXN-20920</t>
  </si>
  <si>
    <t>TXN-20622</t>
  </si>
  <si>
    <t>TXN-20270</t>
  </si>
  <si>
    <t>TXN-20860</t>
  </si>
  <si>
    <t>TXN-20474</t>
  </si>
  <si>
    <t>TXN-20039</t>
  </si>
  <si>
    <t>TXN-20356</t>
  </si>
  <si>
    <t>TXN-20995</t>
  </si>
  <si>
    <t>TXN-20043</t>
  </si>
  <si>
    <t>TXN-20577</t>
  </si>
  <si>
    <t>TXN-20716</t>
  </si>
  <si>
    <t>TXN-20576</t>
  </si>
  <si>
    <t>TXN-20035</t>
  </si>
  <si>
    <t>TXN-20296</t>
  </si>
  <si>
    <t>TXN-20994</t>
  </si>
  <si>
    <t>TXN-20936</t>
  </si>
  <si>
    <t>TXN-20252</t>
  </si>
  <si>
    <t>TXN-20800</t>
  </si>
  <si>
    <t>TXN-20335</t>
  </si>
  <si>
    <t>TXN-20643</t>
  </si>
  <si>
    <t>TXN-20087</t>
  </si>
  <si>
    <t>TXN-20636</t>
  </si>
  <si>
    <t>TXN-20520</t>
  </si>
  <si>
    <t>TXN-20532</t>
  </si>
  <si>
    <t>TXN-20057</t>
  </si>
  <si>
    <t>TXN-20501</t>
  </si>
  <si>
    <t>TXN-20899</t>
  </si>
  <si>
    <t>TXN-20853</t>
  </si>
  <si>
    <t>TXN-20584</t>
  </si>
  <si>
    <t>TXN-20911</t>
  </si>
  <si>
    <t>TXN-20198</t>
  </si>
  <si>
    <t>TXN-20989</t>
  </si>
  <si>
    <t>TXN-20343</t>
  </si>
  <si>
    <t>TXN-20481</t>
  </si>
  <si>
    <t>TXN-20127</t>
  </si>
  <si>
    <t>TXN-20616</t>
  </si>
  <si>
    <t>TXN-20172</t>
  </si>
  <si>
    <t>TXN-20754</t>
  </si>
  <si>
    <t>TXN-20834</t>
  </si>
  <si>
    <t>TXN-20644</t>
  </si>
  <si>
    <t>TXN-20413</t>
  </si>
  <si>
    <t>Aug-2024</t>
  </si>
  <si>
    <t>TXN-20051</t>
  </si>
  <si>
    <t>TXN-20974</t>
  </si>
  <si>
    <t>TXN-20427</t>
  </si>
  <si>
    <t>TXN-20169</t>
  </si>
  <si>
    <t>TXN-20157</t>
  </si>
  <si>
    <t>TXN-20849</t>
  </si>
  <si>
    <t>TXN-20271</t>
  </si>
  <si>
    <t>TXN-20919</t>
  </si>
  <si>
    <t>TXN-20876</t>
  </si>
  <si>
    <t>TXN-20882</t>
  </si>
  <si>
    <t>TXN-20094</t>
  </si>
  <si>
    <t>TXN-20070</t>
  </si>
  <si>
    <t>TXN-20280</t>
  </si>
  <si>
    <t>TXN-20614</t>
  </si>
  <si>
    <t>TXN-20581</t>
  </si>
  <si>
    <t>TXN-20894</t>
  </si>
  <si>
    <t>TXN-20580</t>
  </si>
  <si>
    <t>TXN-20328</t>
  </si>
  <si>
    <t>TXN-20730</t>
  </si>
  <si>
    <t>TXN-20551</t>
  </si>
  <si>
    <t>TXN-20381</t>
  </si>
  <si>
    <t>TXN-20796</t>
  </si>
  <si>
    <t>TXN-20525</t>
  </si>
  <si>
    <t>TXN-20079</t>
  </si>
  <si>
    <t>TXN-20498</t>
  </si>
  <si>
    <t>TXN-20629</t>
  </si>
  <si>
    <t>TXN-20349</t>
  </si>
  <si>
    <t>TXN-20527</t>
  </si>
  <si>
    <t>TXN-20578</t>
  </si>
  <si>
    <t>TXN-20550</t>
  </si>
  <si>
    <t>TXN-20951</t>
  </si>
  <si>
    <t>TXN-20416</t>
  </si>
  <si>
    <t>TXN-20332</t>
  </si>
  <si>
    <t>TXN-20909</t>
  </si>
  <si>
    <t>TXN-20306</t>
  </si>
  <si>
    <t>TXN-20858</t>
  </si>
  <si>
    <t>TXN-20680</t>
  </si>
  <si>
    <t>TXN-20020</t>
  </si>
  <si>
    <t>TXN-20748</t>
  </si>
  <si>
    <t>TXN-20028</t>
  </si>
  <si>
    <t>TXN-20717</t>
  </si>
  <si>
    <t>TXN-20197</t>
  </si>
  <si>
    <t>TXN-20669</t>
  </si>
  <si>
    <t>TXN-20829</t>
  </si>
  <si>
    <t>TXN-20455</t>
  </si>
  <si>
    <t>TXN-20344</t>
  </si>
  <si>
    <t>TXN-20105</t>
  </si>
  <si>
    <t>TXN-20131</t>
  </si>
  <si>
    <t>TXN-20322</t>
  </si>
  <si>
    <t>TXN-20064</t>
  </si>
  <si>
    <t>TXN-20768</t>
  </si>
  <si>
    <t>TXN-20543</t>
  </si>
  <si>
    <t>TXN-20848</t>
  </si>
  <si>
    <t>TXN-20294</t>
  </si>
  <si>
    <t>TXN-20789</t>
  </si>
  <si>
    <t>TXN-20341</t>
  </si>
  <si>
    <t>TXN-20975</t>
  </si>
  <si>
    <t>TXN-20561</t>
  </si>
  <si>
    <t>TXN-20868</t>
  </si>
  <si>
    <t>TXN-20151</t>
  </si>
  <si>
    <t>Sep-2024</t>
  </si>
  <si>
    <t>TXN-20712</t>
  </si>
  <si>
    <t>TXN-20952</t>
  </si>
  <si>
    <t>TXN-20652</t>
  </si>
  <si>
    <t>TXN-20176</t>
  </si>
  <si>
    <t>TXN-20017</t>
  </si>
  <si>
    <t>TXN-20477</t>
  </si>
  <si>
    <t>TXN-20058</t>
  </si>
  <si>
    <t>TXN-20738</t>
  </si>
  <si>
    <t>TXN-20243</t>
  </si>
  <si>
    <t>TXN-20734</t>
  </si>
  <si>
    <t>TXN-20518</t>
  </si>
  <si>
    <t>TXN-20720</t>
  </si>
  <si>
    <t>TXN-20844</t>
  </si>
  <si>
    <t>TXN-20240</t>
  </si>
  <si>
    <t>TXN-20709</t>
  </si>
  <si>
    <t>TXN-20791</t>
  </si>
  <si>
    <t>TXN-20747</t>
  </si>
  <si>
    <t>TXN-20134</t>
  </si>
  <si>
    <t>TXN-20419</t>
  </si>
  <si>
    <t>TXN-20233</t>
  </si>
  <si>
    <t>TXN-20506</t>
  </si>
  <si>
    <t>TXN-20602</t>
  </si>
  <si>
    <t>TXN-20074</t>
  </si>
  <si>
    <t>TXN-20125</t>
  </si>
  <si>
    <t>TXN-20733</t>
  </si>
  <si>
    <t>TXN-20284</t>
  </si>
  <si>
    <t>TXN-20713</t>
  </si>
  <si>
    <t>TXN-20292</t>
  </si>
  <si>
    <t>TXN-20912</t>
  </si>
  <si>
    <t>TXN-20634</t>
  </si>
  <si>
    <t>TXN-20216</t>
  </si>
  <si>
    <t>TXN-20732</t>
  </si>
  <si>
    <t>TXN-20158</t>
  </si>
  <si>
    <t>TXN-20499</t>
  </si>
  <si>
    <t>TXN-20724</t>
  </si>
  <si>
    <t>TXN-20245</t>
  </si>
  <si>
    <t>TXN-20339</t>
  </si>
  <si>
    <t>TXN-20591</t>
  </si>
  <si>
    <t>TXN-20923</t>
  </si>
  <si>
    <t>TXN-20765</t>
  </si>
  <si>
    <t>TXN-20261</t>
  </si>
  <si>
    <t>TXN-20569</t>
  </si>
  <si>
    <t>TXN-20285</t>
  </si>
  <si>
    <t>TXN-20359</t>
  </si>
  <si>
    <t>TXN-20320</t>
  </si>
  <si>
    <t>TXN-20353</t>
  </si>
  <si>
    <t>TXN-20428</t>
  </si>
  <si>
    <t>TXN-20870</t>
  </si>
  <si>
    <t>Oct-2024</t>
  </si>
  <si>
    <t>TXN-20957</t>
  </si>
  <si>
    <t>TXN-20915</t>
  </si>
  <si>
    <t>TXN-20678</t>
  </si>
  <si>
    <t>TXN-20010</t>
  </si>
  <si>
    <t>TXN-20152</t>
  </si>
  <si>
    <t>TXN-20916</t>
  </si>
  <si>
    <t>TXN-20524</t>
  </si>
  <si>
    <t>TXN-20006</t>
  </si>
  <si>
    <t>TXN-20340</t>
  </si>
  <si>
    <t>TXN-20201</t>
  </si>
  <si>
    <t>TXN-20750</t>
  </si>
  <si>
    <t>TXN-20948</t>
  </si>
  <si>
    <t>TXN-20695</t>
  </si>
  <si>
    <t>TXN-20136</t>
  </si>
  <si>
    <t>TXN-20794</t>
  </si>
  <si>
    <t>TXN-20689</t>
  </si>
  <si>
    <t>TXN-20536</t>
  </si>
  <si>
    <t>TXN-20723</t>
  </si>
  <si>
    <t>TXN-20145</t>
  </si>
  <si>
    <t>TXN-20539</t>
  </si>
  <si>
    <t>TXN-20467</t>
  </si>
  <si>
    <t>TXN-20210</t>
  </si>
  <si>
    <t>TXN-20054</t>
  </si>
  <si>
    <t>TXN-20177</t>
  </si>
  <si>
    <t>TXN-20274</t>
  </si>
  <si>
    <t>TXN-20254</t>
  </si>
  <si>
    <t>TXN-20126</t>
  </si>
  <si>
    <t>TXN-20606</t>
  </si>
  <si>
    <t>TXN-20779</t>
  </si>
  <si>
    <t>TXN-20895</t>
  </si>
  <si>
    <t>TXN-20630</t>
  </si>
  <si>
    <t>TXN-20301</t>
  </si>
  <si>
    <t>TXN-20784</t>
  </si>
  <si>
    <t>TXN-20516</t>
  </si>
  <si>
    <t>TXN-20307</t>
  </si>
  <si>
    <t>TXN-20258</t>
  </si>
  <si>
    <t>TXN-20390</t>
  </si>
  <si>
    <t>TXN-20833</t>
  </si>
  <si>
    <t>TXN-20068</t>
  </si>
  <si>
    <t>TXN-20867</t>
  </si>
  <si>
    <t>TXN-20257</t>
  </si>
  <si>
    <t>TXN-20463</t>
  </si>
  <si>
    <t>TXN-20813</t>
  </si>
  <si>
    <t>TXN-20287</t>
  </si>
  <si>
    <t>TXN-20309</t>
  </si>
  <si>
    <t>TXN-20866</t>
  </si>
  <si>
    <t>TXN-20896</t>
  </si>
  <si>
    <t>TXN-20443</t>
  </si>
  <si>
    <t>TXN-20875</t>
  </si>
  <si>
    <t>TXN-20084</t>
  </si>
  <si>
    <t>TXN-20562</t>
  </si>
  <si>
    <t>TXN-20063</t>
  </si>
  <si>
    <t>TXN-20160</t>
  </si>
  <si>
    <t>TXN-20549</t>
  </si>
  <si>
    <t>TXN-20881</t>
  </si>
  <si>
    <t>TXN-20338</t>
  </si>
  <si>
    <t>TXN-20628</t>
  </si>
  <si>
    <t>TXN-20128</t>
  </si>
  <si>
    <t>Nov-2024</t>
  </si>
  <si>
    <t>TXN-20910</t>
  </si>
  <si>
    <t>TXN-20908</t>
  </si>
  <si>
    <t>TXN-20445</t>
  </si>
  <si>
    <t>TXN-20533</t>
  </si>
  <si>
    <t>TXN-20336</t>
  </si>
  <si>
    <t>TXN-20956</t>
  </si>
  <si>
    <t>TXN-20661</t>
  </si>
  <si>
    <t>TXN-20906</t>
  </si>
  <si>
    <t>TXN-20086</t>
  </si>
  <si>
    <t>TXN-20048</t>
  </si>
  <si>
    <t>TXN-20180</t>
  </si>
  <si>
    <t>TXN-20065</t>
  </si>
  <si>
    <t>TXN-20042</t>
  </si>
  <si>
    <t>TXN-20841</t>
  </si>
  <si>
    <t>TXN-20817</t>
  </si>
  <si>
    <t>TXN-20932</t>
  </si>
  <si>
    <t>TXN-20555</t>
  </si>
  <si>
    <t>TXN-20412</t>
  </si>
  <si>
    <t>TXN-20213</t>
  </si>
  <si>
    <t>TXN-20018</t>
  </si>
  <si>
    <t>TXN-20475</t>
  </si>
  <si>
    <t>TXN-20840</t>
  </si>
  <si>
    <t>TXN-20892</t>
  </si>
  <si>
    <t>TXN-20367</t>
  </si>
  <si>
    <t>TXN-20505</t>
  </si>
  <si>
    <t>TXN-20325</t>
  </si>
  <si>
    <t>TXN-20922</t>
  </si>
  <si>
    <t>TXN-20872</t>
  </si>
  <si>
    <t>TXN-20458</t>
  </si>
  <si>
    <t>TXN-20510</t>
  </si>
  <si>
    <t>TXN-20418</t>
  </si>
  <si>
    <t>TXN-20398</t>
  </si>
  <si>
    <t>TXN-20913</t>
  </si>
  <si>
    <t>TXN-20242</t>
  </si>
  <si>
    <t>TXN-20934</t>
  </si>
  <si>
    <t>TXN-20827</t>
  </si>
  <si>
    <t>TXN-20973</t>
  </si>
  <si>
    <t>TXN-20450</t>
  </si>
  <si>
    <t>TXN-20888</t>
  </si>
  <si>
    <t>TXN-20688</t>
  </si>
  <si>
    <t>TXN-20741</t>
  </si>
  <si>
    <t>TXN-20133</t>
  </si>
  <si>
    <t>TXN-20283</t>
  </si>
  <si>
    <t>TXN-20615</t>
  </si>
  <si>
    <t>TXN-20406</t>
  </si>
  <si>
    <t>TXN-20360</t>
  </si>
  <si>
    <t>TXN-20799</t>
  </si>
  <si>
    <t>TXN-20016</t>
  </si>
  <si>
    <t>TXN-20110</t>
  </si>
  <si>
    <t>TXN-20460</t>
  </si>
  <si>
    <t>TXN-20100</t>
  </si>
  <si>
    <t>TXN-20541</t>
  </si>
  <si>
    <t>TXN-20015</t>
  </si>
  <si>
    <t>TXN-20124</t>
  </si>
  <si>
    <t>TXN-20203</t>
  </si>
  <si>
    <t>TXN-20378</t>
  </si>
  <si>
    <t>TXN-20528</t>
  </si>
  <si>
    <t>Dec-2024</t>
  </si>
  <si>
    <t>TXN-20281</t>
  </si>
  <si>
    <t>TXN-20098</t>
  </si>
  <si>
    <t>TXN-20221</t>
  </si>
  <si>
    <t>TXN-20129</t>
  </si>
  <si>
    <t>TXN-20385</t>
  </si>
  <si>
    <t>TXN-20608</t>
  </si>
  <si>
    <t>TXN-20038</t>
  </si>
  <si>
    <t>TXN-20408</t>
  </si>
  <si>
    <t>TXN-20388</t>
  </si>
  <si>
    <t>TXN-20537</t>
  </si>
  <si>
    <t>TXN-20248</t>
  </si>
  <si>
    <t>TXN-20587</t>
  </si>
  <si>
    <t>TXN-20969</t>
  </si>
  <si>
    <t>TXN-20189</t>
  </si>
  <si>
    <t>TXN-20929</t>
  </si>
  <si>
    <t>TXN-20566</t>
  </si>
  <si>
    <t>TXN-20400</t>
  </si>
  <si>
    <t>TXN-20756</t>
  </si>
  <si>
    <t>TXN-20441</t>
  </si>
  <si>
    <t>TXN-20664</t>
  </si>
  <si>
    <t>TXN-20299</t>
  </si>
  <si>
    <t>TXN-20487</t>
  </si>
  <si>
    <t>TXN-20067</t>
  </si>
  <si>
    <t>TXN-20106</t>
  </si>
  <si>
    <t>TXN-20206</t>
  </si>
  <si>
    <t>TXN-20397</t>
  </si>
  <si>
    <t>TXN-20773</t>
  </si>
  <si>
    <t>TXN-20571</t>
  </si>
  <si>
    <t>TXN-20451</t>
  </si>
  <si>
    <t>TXN-20621</t>
  </si>
  <si>
    <t>TXN-20117</t>
  </si>
  <si>
    <t>TXN-20873</t>
  </si>
  <si>
    <t>TXN-20466</t>
  </si>
  <si>
    <t>TXN-20826</t>
  </si>
  <si>
    <t>TXN-20514</t>
  </si>
  <si>
    <t>TXN-20698</t>
  </si>
  <si>
    <t>TXN-20856</t>
  </si>
  <si>
    <t>TXN-20641</t>
  </si>
  <si>
    <t>TXN-20113</t>
  </si>
  <si>
    <t>TXN-20705</t>
  </si>
  <si>
    <t>TXN-20486</t>
  </si>
  <si>
    <t>TXN-20163</t>
  </si>
  <si>
    <t>TXN-20557</t>
  </si>
  <si>
    <t>TXN-20962</t>
  </si>
  <si>
    <t>TXN-20302</t>
  </si>
  <si>
    <t>TXN-20273</t>
  </si>
  <si>
    <t>TXN-20822</t>
  </si>
  <si>
    <t>TXN-20809</t>
  </si>
  <si>
    <t>TXN-20991</t>
  </si>
  <si>
    <t>TXN-20207</t>
  </si>
  <si>
    <t>TXN-20085</t>
  </si>
  <si>
    <t>TXN-20372</t>
  </si>
  <si>
    <t>TXN-20746</t>
  </si>
  <si>
    <t>TXN-20797</t>
  </si>
  <si>
    <t>TXN-20645</t>
  </si>
  <si>
    <t>TXN-20211</t>
  </si>
  <si>
    <t>TXN-20351</t>
  </si>
  <si>
    <t>TXN-20736</t>
  </si>
  <si>
    <t>TXN-20272</t>
  </si>
  <si>
    <t>TXN-20007</t>
  </si>
  <si>
    <t>TXN-20424</t>
  </si>
  <si>
    <t>TXN-20607</t>
  </si>
  <si>
    <t>TXN-20069</t>
  </si>
  <si>
    <t>TXN-20382</t>
  </si>
  <si>
    <t>TXN-20053</t>
  </si>
  <si>
    <t>TXN-20718</t>
  </si>
  <si>
    <t>TXN-20692</t>
  </si>
  <si>
    <t>TXN-20647</t>
  </si>
  <si>
    <t>TXN-20508</t>
  </si>
  <si>
    <t>TXN-20884</t>
  </si>
  <si>
    <t>TXN-20623</t>
  </si>
  <si>
    <t>TXN-20658</t>
  </si>
  <si>
    <t>TXN-20434</t>
  </si>
  <si>
    <t>TXN-20650</t>
  </si>
  <si>
    <t>TXN-20488</t>
  </si>
  <si>
    <t>TXN-20091</t>
  </si>
  <si>
    <t>TXN-20442</t>
  </si>
  <si>
    <t>Jan-2025</t>
  </si>
  <si>
    <t>TXN-20972</t>
  </si>
  <si>
    <t>TXN-20604</t>
  </si>
  <si>
    <t>TXN-20981</t>
  </si>
  <si>
    <t>TXN-20554</t>
  </si>
  <si>
    <t>TXN-20947</t>
  </si>
  <si>
    <t>TXN-20045</t>
  </si>
  <si>
    <t>TXN-20648</t>
  </si>
  <si>
    <t>TXN-20626</t>
  </si>
  <si>
    <t>TXN-20371</t>
  </si>
  <si>
    <t>TXN-20618</t>
  </si>
  <si>
    <t>TXN-20889</t>
  </si>
  <si>
    <t>TXN-20256</t>
  </si>
  <si>
    <t>TXN-20681</t>
  </si>
  <si>
    <t>TXN-20657</t>
  </si>
  <si>
    <t>TXN-20667</t>
  </si>
  <si>
    <t>TXN-20788</t>
  </si>
  <si>
    <t>TXN-20497</t>
  </si>
  <si>
    <t>TXN-20295</t>
  </si>
  <si>
    <t>TXN-20473</t>
  </si>
  <si>
    <t>TXN-20249</t>
  </si>
  <si>
    <t>TXN-20155</t>
  </si>
  <si>
    <t>TXN-20546</t>
  </si>
  <si>
    <t>TXN-20196</t>
  </si>
  <si>
    <t>TXN-20379</t>
  </si>
  <si>
    <t>TXN-20871</t>
  </si>
  <si>
    <t>TXN-20489</t>
  </si>
  <si>
    <t>TXN-20357</t>
  </si>
  <si>
    <t>TXN-20165</t>
  </si>
  <si>
    <t>TXN-20034</t>
  </si>
  <si>
    <t>TXN-20402</t>
  </si>
  <si>
    <t>TXN-20711</t>
  </si>
  <si>
    <t>TXN-20324</t>
  </si>
  <si>
    <t>TXN-20646</t>
  </si>
  <si>
    <t>TXN-20933</t>
  </si>
  <si>
    <t>TXN-20331</t>
  </si>
  <si>
    <t>TXN-20832</t>
  </si>
  <si>
    <t>TXN-20334</t>
  </si>
  <si>
    <t>TXN-20691</t>
  </si>
  <si>
    <t>TXN-20824</t>
  </si>
  <si>
    <t>TXN-20062</t>
  </si>
  <si>
    <t>TXN-20812</t>
  </si>
  <si>
    <t>TXN-20603</t>
  </si>
  <si>
    <t>TXN-20601</t>
  </si>
  <si>
    <t>TXN-20595</t>
  </si>
  <si>
    <t>TXN-20219</t>
  </si>
  <si>
    <t>TXN-20590</t>
  </si>
  <si>
    <t>TXN-20046</t>
  </si>
  <si>
    <t>TXN-20298</t>
  </si>
  <si>
    <t>TXN-20690</t>
  </si>
  <si>
    <t>Feb-2025</t>
  </si>
  <si>
    <t>TXN-20260</t>
  </si>
  <si>
    <t>TXN-20708</t>
  </si>
  <si>
    <t>TXN-20700</t>
  </si>
  <si>
    <t>TXN-20766</t>
  </si>
  <si>
    <t>TXN-20078</t>
  </si>
  <si>
    <t>TXN-20931</t>
  </si>
  <si>
    <t>TXN-20857</t>
  </si>
  <si>
    <t>TXN-20009</t>
  </si>
  <si>
    <t>TXN-20386</t>
  </si>
  <si>
    <t>TXN-20090</t>
  </si>
  <si>
    <t>TXN-20653</t>
  </si>
  <si>
    <t>TXN-20728</t>
  </si>
  <si>
    <t>TXN-20635</t>
  </si>
  <si>
    <t>TXN-20617</t>
  </si>
  <si>
    <t>TXN-20987</t>
  </si>
  <si>
    <t>TXN-20036</t>
  </si>
  <si>
    <t>TXN-20268</t>
  </si>
  <si>
    <t>TXN-20387</t>
  </si>
  <si>
    <t>TXN-20162</t>
  </si>
  <si>
    <t>TXN-20977</t>
  </si>
  <si>
    <t>TXN-20979</t>
  </si>
  <si>
    <t>TXN-20725</t>
  </si>
  <si>
    <t>TXN-20321</t>
  </si>
  <si>
    <t>TXN-20816</t>
  </si>
  <si>
    <t>TXN-20029</t>
  </si>
  <si>
    <t>TXN-20679</t>
  </si>
  <si>
    <t>TXN-20167</t>
  </si>
  <si>
    <t>TXN-20491</t>
  </si>
  <si>
    <t>TXN-20052</t>
  </si>
  <si>
    <t>TXN-20148</t>
  </si>
  <si>
    <t>TXN-20610</t>
  </si>
  <si>
    <t>TXN-20619</t>
  </si>
  <si>
    <t>TXN-20153</t>
  </si>
  <si>
    <t>TXN-20942</t>
  </si>
  <si>
    <t>TXN-20633</t>
  </si>
  <si>
    <t>TXN-20897</t>
  </si>
  <si>
    <t>TXN-20076</t>
  </si>
  <si>
    <t>TXN-20440</t>
  </si>
  <si>
    <t>TXN-20544</t>
  </si>
  <si>
    <t>TXN-20640</t>
  </si>
  <si>
    <t>TXN-20642</t>
  </si>
  <si>
    <t>TXN-20946</t>
  </si>
  <si>
    <t>TXN-20742</t>
  </si>
  <si>
    <t>TXN-20823</t>
  </si>
  <si>
    <t>TXN-20963</t>
  </si>
  <si>
    <t>Mar-2025</t>
  </si>
  <si>
    <t>TXN-20887</t>
  </si>
  <si>
    <t>TXN-20368</t>
  </si>
  <si>
    <t>TXN-20825</t>
  </si>
  <si>
    <t>TXN-20056</t>
  </si>
  <si>
    <t>TXN-20542</t>
  </si>
  <si>
    <t>TXN-20807</t>
  </si>
  <si>
    <t>TXN-20960</t>
  </si>
  <si>
    <t>TXN-20202</t>
  </si>
  <si>
    <t>TXN-20502</t>
  </si>
  <si>
    <t>TXN-20209</t>
  </si>
  <si>
    <t>TXN-20869</t>
  </si>
  <si>
    <t>TXN-20500</t>
  </si>
  <si>
    <t>TXN-20003</t>
  </si>
  <si>
    <t>TXN-20600</t>
  </si>
  <si>
    <t>TXN-20478</t>
  </si>
  <si>
    <t>TXN-20362</t>
  </si>
  <si>
    <t>TXN-20073</t>
  </si>
  <si>
    <t>TXN-20423</t>
  </si>
  <si>
    <t>TXN-21000</t>
  </si>
  <si>
    <t>TXN-20308</t>
  </si>
  <si>
    <t>TXN-20845</t>
  </si>
  <si>
    <t>TXN-20656</t>
  </si>
  <si>
    <t>TXN-20676</t>
  </si>
  <si>
    <t>TXN-20033</t>
  </si>
  <si>
    <t>TXN-20579</t>
  </si>
  <si>
    <t>TXN-20024</t>
  </si>
  <si>
    <t>TXN-20188</t>
  </si>
  <si>
    <t>TXN-20996</t>
  </si>
  <si>
    <t>TXN-20675</t>
  </si>
  <si>
    <t>TXN-20507</t>
  </si>
  <si>
    <t>TXN-20037</t>
  </si>
  <si>
    <t>TXN-20862</t>
  </si>
  <si>
    <t>TXN-20851</t>
  </si>
  <si>
    <t>TXN-20850</t>
  </si>
  <si>
    <t>TXN-20304</t>
  </si>
  <si>
    <t>TXN-20778</t>
  </si>
  <si>
    <t>TXN-20071</t>
  </si>
  <si>
    <t>TXN-20663</t>
  </si>
  <si>
    <t>TXN-20992</t>
  </si>
  <si>
    <t>TXN-20967</t>
  </si>
  <si>
    <t>TXN-20722</t>
  </si>
  <si>
    <t>TXN-20395</t>
  </si>
  <si>
    <t>TXN-20452</t>
  </si>
  <si>
    <t>TXN-20303</t>
  </si>
  <si>
    <t>TXN-20806</t>
  </si>
  <si>
    <t>TXN-20786</t>
  </si>
  <si>
    <t>TXN-20448</t>
  </si>
  <si>
    <t>TXN-20182</t>
  </si>
  <si>
    <t>TXN-20638</t>
  </si>
  <si>
    <t>TXN-20749</t>
  </si>
  <si>
    <t>TXN-20631</t>
  </si>
  <si>
    <t>TXN-20317</t>
  </si>
  <si>
    <t>TXN-20662</t>
  </si>
  <si>
    <t>TXN-20763</t>
  </si>
  <si>
    <t>Apr-2025</t>
  </si>
  <si>
    <t>TXN-20099</t>
  </si>
  <si>
    <t>TXN-20808</t>
  </si>
  <si>
    <t>TXN-20611</t>
  </si>
  <si>
    <t>TXN-20464</t>
  </si>
  <si>
    <t>TXN-20439</t>
  </si>
  <si>
    <t>TXN-20114</t>
  </si>
  <si>
    <t>TXN-20232</t>
  </si>
  <si>
    <t>TXN-20333</t>
  </si>
  <si>
    <t>TXN-20470</t>
  </si>
  <si>
    <t>TXN-20146</t>
  </si>
  <si>
    <t>TXN-20286</t>
  </si>
  <si>
    <t>TXN-20012</t>
  </si>
  <si>
    <t>TXN-20437</t>
  </si>
  <si>
    <t>TXN-20247</t>
  </si>
  <si>
    <t>TXN-20205</t>
  </si>
  <si>
    <t>TXN-20433</t>
  </si>
  <si>
    <t>TXN-20132</t>
  </si>
  <si>
    <t>TXN-20879</t>
  </si>
  <si>
    <t>TXN-20231</t>
  </si>
  <si>
    <t>TXN-20293</t>
  </si>
  <si>
    <t>TXN-20707</t>
  </si>
  <si>
    <t>TXN-20684</t>
  </si>
  <si>
    <t>TXN-20263</t>
  </si>
  <si>
    <t>TXN-20369</t>
  </si>
  <si>
    <t>TXN-20654</t>
  </si>
  <si>
    <t>TXN-20914</t>
  </si>
  <si>
    <t>TXN-20687</t>
  </si>
  <si>
    <t>TXN-20775</t>
  </si>
  <si>
    <t>TXN-20682</t>
  </si>
  <si>
    <t>TXN-20839</t>
  </si>
  <si>
    <t>TXN-20265</t>
  </si>
  <si>
    <t>TXN-20686</t>
  </si>
  <si>
    <t>TXN-20859</t>
  </si>
  <si>
    <t>TXN-20119</t>
  </si>
  <si>
    <t>TXN-20297</t>
  </si>
  <si>
    <t>TXN-20229</t>
  </si>
  <si>
    <t>TXN-20830</t>
  </si>
  <si>
    <t>TXN-20701</t>
  </si>
  <si>
    <t>TXN-20828</t>
  </si>
  <si>
    <t>TXN-20760</t>
  </si>
  <si>
    <t>TXN-20276</t>
  </si>
  <si>
    <t>TXN-20011</t>
  </si>
  <si>
    <t>TXN-20805</t>
  </si>
  <si>
    <t>TXN-20238</t>
  </si>
  <si>
    <t>TXN-20429</t>
  </si>
  <si>
    <t>TXN-20147</t>
  </si>
  <si>
    <t>TXN-20047</t>
  </si>
  <si>
    <t>TXN-20226</t>
  </si>
  <si>
    <t>TXN-20874</t>
  </si>
  <si>
    <t>TXN-20377</t>
  </si>
  <si>
    <t>TXN-20426</t>
  </si>
  <si>
    <t>TXN-20465</t>
  </si>
  <si>
    <t>TXN-20420</t>
  </si>
  <si>
    <t>TXN-20032</t>
  </si>
  <si>
    <t>TXN-20239</t>
  </si>
  <si>
    <t>TXN-20080</t>
  </si>
  <si>
    <t>TXN-20469</t>
  </si>
  <si>
    <t>TXN-20399</t>
  </si>
  <si>
    <t>TXN-20958</t>
  </si>
  <si>
    <t>TXN-20983</t>
  </si>
  <si>
    <t>TXN-20838</t>
  </si>
  <si>
    <t>TXN-20559</t>
  </si>
  <si>
    <t>TXN-20471</t>
  </si>
  <si>
    <t>TXN-20391</t>
  </si>
  <si>
    <t>TXN-20954</t>
  </si>
  <si>
    <t>TXN-20118</t>
  </si>
  <si>
    <t>May-2025</t>
  </si>
  <si>
    <t>TXN-20890</t>
  </si>
  <si>
    <t>TXN-20476</t>
  </si>
  <si>
    <t>TXN-20342</t>
  </si>
  <si>
    <t>TXN-20072</t>
  </si>
  <si>
    <t>TXN-20893</t>
  </si>
  <si>
    <t>TXN-20589</t>
  </si>
  <si>
    <t>TXN-20846</t>
  </si>
  <si>
    <t>TXN-20082</t>
  </si>
  <si>
    <t>TXN-20075</t>
  </si>
  <si>
    <t>TXN-20168</t>
  </si>
  <si>
    <t>TXN-20905</t>
  </si>
  <si>
    <t>TXN-20171</t>
  </si>
  <si>
    <t>TXN-20374</t>
  </si>
  <si>
    <t>TXN-20431</t>
  </si>
  <si>
    <t>TXN-20193</t>
  </si>
  <si>
    <t>TXN-20811</t>
  </si>
  <si>
    <t>TXN-20005</t>
  </si>
  <si>
    <t>TXN-20380</t>
  </si>
  <si>
    <t>TXN-20401</t>
  </si>
  <si>
    <t>TXN-20535</t>
  </si>
  <si>
    <t>TXN-20013</t>
  </si>
  <si>
    <t>TXN-20021</t>
  </si>
  <si>
    <t>TXN-20804</t>
  </si>
  <si>
    <t>TXN-20449</t>
  </si>
  <si>
    <t>TXN-20140</t>
  </si>
  <si>
    <t>TXN-20574</t>
  </si>
  <si>
    <t>TXN-20161</t>
  </si>
  <si>
    <t>TXN-20993</t>
  </si>
  <si>
    <t>TXN-20199</t>
  </si>
  <si>
    <t>TXN-20166</t>
  </si>
  <si>
    <t>TXN-20370</t>
  </si>
  <si>
    <t>TXN-20513</t>
  </si>
  <si>
    <t>TXN-20970</t>
  </si>
  <si>
    <t>TXN-20553</t>
  </si>
  <si>
    <t>TXN-20170</t>
  </si>
  <si>
    <t>TXN-20055</t>
  </si>
  <si>
    <t>TXN-20393</t>
  </si>
  <si>
    <t>TXN-20077</t>
  </si>
  <si>
    <t>TXN-20375</t>
  </si>
  <si>
    <t>TXN-20599</t>
  </si>
  <si>
    <t>TXN-20774</t>
  </si>
  <si>
    <t>TXN-20421</t>
  </si>
  <si>
    <t>TXN-20183</t>
  </si>
  <si>
    <t>TXN-20624</t>
  </si>
  <si>
    <t>TXN-20843</t>
  </si>
  <si>
    <t>TXN-20060</t>
  </si>
  <si>
    <t>TXN-20944</t>
  </si>
  <si>
    <t>TXN-20389</t>
  </si>
  <si>
    <t>TXN-20483</t>
  </si>
  <si>
    <t>Jun-2025</t>
  </si>
  <si>
    <t>TXN-20241</t>
  </si>
  <si>
    <t>TXN-20570</t>
  </si>
  <si>
    <t>TXN-20230</t>
  </si>
  <si>
    <t>TXN-20781</t>
  </si>
  <si>
    <t>TXN-20186</t>
  </si>
  <si>
    <t>TXN-20023</t>
  </si>
  <si>
    <t>TXN-20782</t>
  </si>
  <si>
    <t>TXN-20917</t>
  </si>
  <si>
    <t>TXN-20141</t>
  </si>
  <si>
    <t>TXN-20885</t>
  </si>
  <si>
    <t>TXN-20831</t>
  </si>
  <si>
    <t>TXN-20649</t>
  </si>
  <si>
    <t>TXN-20329</t>
  </si>
  <si>
    <t>TXN-20081</t>
  </si>
  <si>
    <t>TXN-20121</t>
  </si>
  <si>
    <t>TXN-20262</t>
  </si>
  <si>
    <t>TXN-20727</t>
  </si>
  <si>
    <t>TXN-20447</t>
  </si>
  <si>
    <t>TXN-20795</t>
  </si>
  <si>
    <t>TXN-20637</t>
  </si>
  <si>
    <t>TXN-20409</t>
  </si>
  <si>
    <t>TXN-20365</t>
  </si>
  <si>
    <t>TXN-20771</t>
  </si>
  <si>
    <t>TXN-20484</t>
  </si>
  <si>
    <t>TXN-20291</t>
  </si>
  <si>
    <t>TXN-20710</t>
  </si>
  <si>
    <t>TXN-20921</t>
  </si>
  <si>
    <t>TXN-20059</t>
  </si>
  <si>
    <t>TXN-20959</t>
  </si>
  <si>
    <t>TXN-20407</t>
  </si>
  <si>
    <t>TXN-20918</t>
  </si>
  <si>
    <t>TXN-20563</t>
  </si>
  <si>
    <t>TXN-20767</t>
  </si>
  <si>
    <t>TXN-20187</t>
  </si>
  <si>
    <t>TXN-20137</t>
  </si>
  <si>
    <t>TXN-20572</t>
  </si>
  <si>
    <t>TXN-20323</t>
  </si>
  <si>
    <t>TXN-20986</t>
  </si>
  <si>
    <t>TXN-20780</t>
  </si>
  <si>
    <t>TXN-20002</t>
  </si>
  <si>
    <t>TXN-20314</t>
  </si>
  <si>
    <t>TXN-20027</t>
  </si>
  <si>
    <t>TXN-20150</t>
  </si>
  <si>
    <t>TXN-20327</t>
  </si>
  <si>
    <t>TXN-20523</t>
  </si>
  <si>
    <t>TXN-20810</t>
  </si>
  <si>
    <t>TXN-20101</t>
  </si>
  <si>
    <t>TXN-20022</t>
  </si>
  <si>
    <t>TXN-20482</t>
  </si>
  <si>
    <t>TXN-20900</t>
  </si>
  <si>
    <t>TXN-20083</t>
  </si>
  <si>
    <t>TXN-20503</t>
  </si>
  <si>
    <t>TXN-20459</t>
  </si>
  <si>
    <t>TXN-20185</t>
  </si>
  <si>
    <t>TXN-20415</t>
  </si>
  <si>
    <t>TXN-20534</t>
  </si>
  <si>
    <t>TXN-20088</t>
  </si>
  <si>
    <t>TXN-20731</t>
  </si>
  <si>
    <t>TXN-20111</t>
  </si>
  <si>
    <t>TXN-20949</t>
  </si>
  <si>
    <t>TXN-20837</t>
  </si>
  <si>
    <t>Row Labels</t>
  </si>
  <si>
    <t>Grand Total</t>
  </si>
  <si>
    <t>Budget Variance</t>
  </si>
  <si>
    <t>Signed Amount</t>
  </si>
  <si>
    <t>Over Budget Flag</t>
  </si>
  <si>
    <t>Column Labels</t>
  </si>
  <si>
    <t>2024</t>
  </si>
  <si>
    <t>2025</t>
  </si>
  <si>
    <t>Sum of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</si>
  <si>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</si>
  <si>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</si>
  <si>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</si>
  <si>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</si>
  <si>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</si>
  <si>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</si>
  <si>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</si>
  <si>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</si>
  <si>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</si>
  <si>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</si>
  <si>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</si>
  <si>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</si>
  <si>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Budgeted Amount</t>
  </si>
  <si>
    <t>Actual Spend</t>
  </si>
  <si>
    <t>KPIs</t>
  </si>
  <si>
    <t>Values</t>
  </si>
  <si>
    <t>Total Income</t>
  </si>
  <si>
    <t>Total Expense</t>
  </si>
  <si>
    <t>Net Savings</t>
  </si>
  <si>
    <t>Savings Rate %</t>
  </si>
  <si>
    <t>Over-Budget Transactions</t>
  </si>
  <si>
    <t>Category Totals (helper)</t>
  </si>
  <si>
    <t>Total Spend</t>
  </si>
  <si>
    <t>Top Spending Category</t>
  </si>
  <si>
    <t>FINANCE / BUDGET TRACKER DASHBOARD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</si>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</sst>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mm/dd/yyyy"/>
    <numFmt numFmtId="165" formatCode="\$#,##0.00"/>
    <numFmt numFmtId="166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66" fontId="2" fillId="3" borderId="1" xfId="0" applyNumberFormat="1" applyFont="1" applyFill="1" applyBorder="1"/>
    <xf numFmtId="166" fontId="1" fillId="2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/>
    <xf numFmtId="166" fontId="0" fillId="0" borderId="0" xfId="1" applyNumberFormat="1" applyFont="1"/>
    <xf numFmtId="0" fontId="1" fillId="2" borderId="1" xfId="0" applyFont="1" applyFill="1" applyBorder="1" applyAlignment="1">
      <alignment horizontal="right"/>
    </xf>
    <xf numFmtId="166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0" fontId="4" fillId="0" borderId="0" xfId="0" applyFont="1"/>
    <xf numFmtId="0" fontId="4" fillId="4" borderId="2" xfId="0" applyFont="1" applyFill="1" applyBorder="1"/>
    <xf numFmtId="166" fontId="4" fillId="4" borderId="2" xfId="0" applyNumberFormat="1" applyFont="1" applyFill="1" applyBorder="1"/>
    <xf numFmtId="0" fontId="0" fillId="6" borderId="2" xfId="0" applyFill="1" applyBorder="1"/>
    <xf numFmtId="166" fontId="0" fillId="6" borderId="2" xfId="0" applyNumberFormat="1" applyFill="1" applyBorder="1" applyAlignment="1">
      <alignment horizontal="right"/>
    </xf>
    <xf numFmtId="9" fontId="0" fillId="6" borderId="2" xfId="2" applyFont="1" applyFill="1" applyBorder="1"/>
    <xf numFmtId="0" fontId="0" fillId="6" borderId="3" xfId="0" applyFill="1" applyBorder="1"/>
    <xf numFmtId="166" fontId="0" fillId="6" borderId="3" xfId="0" applyNumberFormat="1" applyFill="1" applyBorder="1"/>
    <xf numFmtId="0" fontId="6" fillId="0" borderId="0" xfId="0" applyFont="1"/>
    <xf numFmtId="0" fontId="5" fillId="7" borderId="2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[budget_tracker_dataset.xlsx]PT_Trend!PivotTable2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Income vs Expense</a:t>
            </a:r>
            <a:endParaRPr lang="en-IN"/>
          </a:p>
        </c:rich>
      </c:tx>
      <c:layout>
        <c:manualLayout>
          <c:xMode val="edge"/>
          <c:yMode val="edge"/>
          <c:x val="0.30856280676779813"/>
          <c:y val="7.5051893023176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PT_Trend!$B$3:$B$4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PT_Trend!$A$5:$A$25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PT_Trend!$B$5:$B$25</c:f>
              <c:numCache>
                <c:formatCode>_-[$$-409]* #,##0.00_ ;_-[$$-409]* \-#,##0.00\ ;_-[$$-409]* "-"??_ ;_-@_ </c:formatCode>
                <c:ptCount val="18"/>
                <c:pt idx="0">
                  <c:v>257734.58999999997</c:v>
                </c:pt>
                <c:pt idx="1">
                  <c:v>318652.67999999988</c:v>
                </c:pt>
                <c:pt idx="2">
                  <c:v>313100.68</c:v>
                </c:pt>
                <c:pt idx="3">
                  <c:v>307327.2</c:v>
                </c:pt>
                <c:pt idx="4">
                  <c:v>181933.56999999998</c:v>
                </c:pt>
                <c:pt idx="5">
                  <c:v>261055.27999999997</c:v>
                </c:pt>
                <c:pt idx="6">
                  <c:v>263095.67</c:v>
                </c:pt>
                <c:pt idx="7">
                  <c:v>252601.86000000004</c:v>
                </c:pt>
                <c:pt idx="8">
                  <c:v>254904.44000000006</c:v>
                </c:pt>
                <c:pt idx="9">
                  <c:v>383381.87999999989</c:v>
                </c:pt>
                <c:pt idx="10">
                  <c:v>248573.12999999998</c:v>
                </c:pt>
                <c:pt idx="11">
                  <c:v>377771.31999999995</c:v>
                </c:pt>
                <c:pt idx="12">
                  <c:v>233261.77000000002</c:v>
                </c:pt>
                <c:pt idx="13">
                  <c:v>216115.57999999996</c:v>
                </c:pt>
                <c:pt idx="14">
                  <c:v>311032.87</c:v>
                </c:pt>
                <c:pt idx="15">
                  <c:v>305265.89999999997</c:v>
                </c:pt>
                <c:pt idx="16">
                  <c:v>193399.38000000003</c:v>
                </c:pt>
                <c:pt idx="17">
                  <c:v>332813.88000000006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3-4B15-8EAE-A0D1ED7A82B2}"/>
            </c:ext>
          </c:extLst>
        </c:ser>
        <c:ser>
          <c:idx val="1"/>
          <c:order val="1"/>
          <c:tx>
            <c:strRef>
              <c:f>PT_Trend!$C$3:$C$4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PT_Trend!$A$5:$A$25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PT_Trend!$C$5:$C$25</c:f>
              <c:numCache>
                <c:formatCode>_-[$$-409]* #,##0.00_ ;_-[$$-409]* \-#,##0.00\ ;_-[$$-409]* "-"??_ ;_-@_ </c:formatCode>
                <c:ptCount val="18"/>
                <c:pt idx="0">
                  <c:v>453311.73000000004</c:v>
                </c:pt>
                <c:pt idx="1">
                  <c:v>379354.46</c:v>
                </c:pt>
                <c:pt idx="2">
                  <c:v>278131.33</c:v>
                </c:pt>
                <c:pt idx="3">
                  <c:v>388203.17000000004</c:v>
                </c:pt>
                <c:pt idx="4">
                  <c:v>262754.40999999997</c:v>
                </c:pt>
                <c:pt idx="5">
                  <c:v>372829.77999999997</c:v>
                </c:pt>
                <c:pt idx="6">
                  <c:v>365604.99</c:v>
                </c:pt>
                <c:pt idx="7">
                  <c:v>322980.42000000004</c:v>
                </c:pt>
                <c:pt idx="8">
                  <c:v>255004.33000000002</c:v>
                </c:pt>
                <c:pt idx="9">
                  <c:v>305399.58999999997</c:v>
                </c:pt>
                <c:pt idx="10">
                  <c:v>314855.78999999998</c:v>
                </c:pt>
                <c:pt idx="11">
                  <c:v>354336.37</c:v>
                </c:pt>
                <c:pt idx="12">
                  <c:v>181022.02</c:v>
                </c:pt>
                <c:pt idx="13">
                  <c:v>160558.93</c:v>
                </c:pt>
                <c:pt idx="14">
                  <c:v>539555.32999999996</c:v>
                </c:pt>
                <c:pt idx="15">
                  <c:v>231234.65000000002</c:v>
                </c:pt>
                <c:pt idx="16">
                  <c:v>353186.89999999997</c:v>
                </c:pt>
                <c:pt idx="17">
                  <c:v>352856.30000000005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2-47A0-8F63-B8DCB51EA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286831"/>
        <c:axId val="1734287311"/>
      </c:barChart>
      <c:catAx>
        <c:axId val="1734286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87311"/>
        <c:crosses val="autoZero"/>
        <c:auto val="1"/>
        <c:lblAlgn val="ctr"/>
        <c:lblOffset val="100"/>
        <c:noMultiLvlLbl val="0"/>
      </c:catAx>
      <c:valAx>
        <c:axId val="173428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8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[budget_tracker_dataset.xlsx]PT_Category!PivotTable3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Expense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PT_Category!$A$4:$A$14</c:f>
              <c:strCache>
                <c:ptCount val="10"/>
                <c:pt idx="0">
                  <c:v>Education</c:v>
                </c:pt>
                <c:pt idx="1">
                  <c:v>Entertainment</c:v>
                </c:pt>
                <c:pt idx="2">
                  <c:v>Groceries</c:v>
                </c:pt>
                <c:pt idx="3">
                  <c:v>Healthcare</c:v>
                </c:pt>
                <c:pt idx="4">
                  <c:v>Loan EMI</c:v>
                </c:pt>
                <c:pt idx="5">
                  <c:v>Rent</c:v>
                </c:pt>
                <c:pt idx="6">
                  <c:v>Savings/Investment</c:v>
                </c:pt>
                <c:pt idx="7">
                  <c:v>Shopping</c:v>
                </c:pt>
                <c:pt idx="8">
                  <c:v>Transport</c:v>
                </c:pt>
                <c:pt idx="9">
                  <c:v>Utilities</c:v>
                </c:pt>
              </c:strCache>
            </c:strRef>
          </c:cat>
          <c:val>
            <c:numRef>
              <c:f>PT_Category!$B$4:$B$14</c:f>
              <c:numCache>
                <c:formatCode>_-[$$-409]* #,##0.00_ ;_-[$$-409]* \-#,##0.00\ ;_-[$$-409]* "-"??_ ;_-@_ </c:formatCode>
                <c:ptCount val="10"/>
                <c:pt idx="0">
                  <c:v>61759.099999999991</c:v>
                </c:pt>
                <c:pt idx="1">
                  <c:v>177742.46</c:v>
                </c:pt>
                <c:pt idx="2">
                  <c:v>646572.01000000013</c:v>
                </c:pt>
                <c:pt idx="3">
                  <c:v>124251.52000000002</c:v>
                </c:pt>
                <c:pt idx="4">
                  <c:v>1242239.1200000006</c:v>
                </c:pt>
                <c:pt idx="5">
                  <c:v>1341567.8799999994</c:v>
                </c:pt>
                <c:pt idx="6">
                  <c:v>672058.85999999987</c:v>
                </c:pt>
                <c:pt idx="7">
                  <c:v>273040.45999999996</c:v>
                </c:pt>
                <c:pt idx="8">
                  <c:v>249290.24999999988</c:v>
                </c:pt>
                <c:pt idx="9">
                  <c:v>223500.02000000002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2-40DE-A008-AA97E9F22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1836127"/>
        <c:axId val="1841835167"/>
      </c:barChart>
      <c:catAx>
        <c:axId val="184183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35167"/>
        <c:crosses val="autoZero"/>
        <c:auto val="1"/>
        <c:lblAlgn val="ctr"/>
        <c:lblOffset val="100"/>
        <c:noMultiLvlLbl val="0"/>
      </c:catAx>
      <c:valAx>
        <c:axId val="184183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3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[budget_tracker_dataset.xlsx]PT_BudgetVsActual!PivotTable4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vs Actual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PT_BudgetVsActual!$B$3</c:f>
              <c:strCache>
                <c:ptCount val="1"/>
                <c:pt idx="0">
                  <c:v>Actual Spend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PT_BudgetVsActual!$A$4:$A$14</c:f>
              <c:strCache>
                <c:ptCount val="10"/>
                <c:pt idx="0">
                  <c:v>Education</c:v>
                </c:pt>
                <c:pt idx="1">
                  <c:v>Entertainment</c:v>
                </c:pt>
                <c:pt idx="2">
                  <c:v>Groceries</c:v>
                </c:pt>
                <c:pt idx="3">
                  <c:v>Healthcare</c:v>
                </c:pt>
                <c:pt idx="4">
                  <c:v>Loan EMI</c:v>
                </c:pt>
                <c:pt idx="5">
                  <c:v>Rent</c:v>
                </c:pt>
                <c:pt idx="6">
                  <c:v>Savings/Investment</c:v>
                </c:pt>
                <c:pt idx="7">
                  <c:v>Shopping</c:v>
                </c:pt>
                <c:pt idx="8">
                  <c:v>Transport</c:v>
                </c:pt>
                <c:pt idx="9">
                  <c:v>Utilities</c:v>
                </c:pt>
              </c:strCache>
            </c:strRef>
          </c:cat>
          <c:val>
            <c:numRef>
              <c:f>PT_BudgetVsActual!$B$4:$B$14</c:f>
              <c:numCache>
                <c:formatCode>_-[$$-409]* #,##0.00_ ;_-[$$-409]* \-#,##0.00\ ;_-[$$-409]* "-"??_ ;_-@_ </c:formatCode>
                <c:ptCount val="10"/>
                <c:pt idx="0">
                  <c:v>61759.099999999991</c:v>
                </c:pt>
                <c:pt idx="1">
                  <c:v>177742.46</c:v>
                </c:pt>
                <c:pt idx="2">
                  <c:v>646572.01000000013</c:v>
                </c:pt>
                <c:pt idx="3">
                  <c:v>124251.52000000002</c:v>
                </c:pt>
                <c:pt idx="4">
                  <c:v>1242239.1200000006</c:v>
                </c:pt>
                <c:pt idx="5">
                  <c:v>1341567.8799999994</c:v>
                </c:pt>
                <c:pt idx="6">
                  <c:v>672058.85999999987</c:v>
                </c:pt>
                <c:pt idx="7">
                  <c:v>273040.45999999996</c:v>
                </c:pt>
                <c:pt idx="8">
                  <c:v>249290.24999999988</c:v>
                </c:pt>
                <c:pt idx="9">
                  <c:v>223500.02000000002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6-4E0C-A7A1-8E315DD78E40}"/>
            </c:ext>
          </c:extLst>
        </c:ser>
        <c:ser>
          <c:idx val="1"/>
          <c:order val="1"/>
          <c:tx>
            <c:strRef>
              <c:f>PT_BudgetVsActual!$C$3</c:f>
              <c:strCache>
                <c:ptCount val="1"/>
                <c:pt idx="0">
                  <c:v>Sum of Budgeted Amount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PT_BudgetVsActual!$A$4:$A$14</c:f>
              <c:strCache>
                <c:ptCount val="10"/>
                <c:pt idx="0">
                  <c:v>Education</c:v>
                </c:pt>
                <c:pt idx="1">
                  <c:v>Entertainment</c:v>
                </c:pt>
                <c:pt idx="2">
                  <c:v>Groceries</c:v>
                </c:pt>
                <c:pt idx="3">
                  <c:v>Healthcare</c:v>
                </c:pt>
                <c:pt idx="4">
                  <c:v>Loan EMI</c:v>
                </c:pt>
                <c:pt idx="5">
                  <c:v>Rent</c:v>
                </c:pt>
                <c:pt idx="6">
                  <c:v>Savings/Investment</c:v>
                </c:pt>
                <c:pt idx="7">
                  <c:v>Shopping</c:v>
                </c:pt>
                <c:pt idx="8">
                  <c:v>Transport</c:v>
                </c:pt>
                <c:pt idx="9">
                  <c:v>Utilities</c:v>
                </c:pt>
              </c:strCache>
            </c:strRef>
          </c:cat>
          <c:val>
            <c:numRef>
              <c:f>PT_BudgetVsActual!$C$4:$C$14</c:f>
              <c:numCache>
                <c:formatCode>\$#,##0.00</c:formatCode>
                <c:ptCount val="10"/>
                <c:pt idx="0">
                  <c:v>68000</c:v>
                </c:pt>
                <c:pt idx="1">
                  <c:v>200000</c:v>
                </c:pt>
                <c:pt idx="2">
                  <c:v>720000</c:v>
                </c:pt>
                <c:pt idx="3">
                  <c:v>136000</c:v>
                </c:pt>
                <c:pt idx="4">
                  <c:v>1344000</c:v>
                </c:pt>
                <c:pt idx="5">
                  <c:v>1485000</c:v>
                </c:pt>
                <c:pt idx="6">
                  <c:v>720000</c:v>
                </c:pt>
                <c:pt idx="7">
                  <c:v>292000</c:v>
                </c:pt>
                <c:pt idx="8">
                  <c:v>280000</c:v>
                </c:pt>
                <c:pt idx="9">
                  <c:v>249000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6-4E0C-A7A1-8E315DD78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245103"/>
        <c:axId val="1878113055"/>
      </c:barChart>
      <c:catAx>
        <c:axId val="1559245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113055"/>
        <c:crosses val="autoZero"/>
        <c:auto val="1"/>
        <c:lblAlgn val="ctr"/>
        <c:lblOffset val="100"/>
        <c:noMultiLvlLbl val="0"/>
      </c:catAx>
      <c:valAx>
        <c:axId val="187811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24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[budget_tracker_dataset.xlsx]PT_Recurring!PivotTable5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Recurring vs Non-Recurring Spend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PT_Recurring!$B$3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PT_Recurring!$A$4:$A$22</c:f>
              <c:multiLvlStrCache>
                <c:ptCount val="16"/>
                <c:lvl>
                  <c:pt idx="0">
                    <c:v>Education</c:v>
                  </c:pt>
                  <c:pt idx="1">
                    <c:v>Entertainment</c:v>
                  </c:pt>
                  <c:pt idx="2">
                    <c:v>Groceries</c:v>
                  </c:pt>
                  <c:pt idx="3">
                    <c:v>Healthcare</c:v>
                  </c:pt>
                  <c:pt idx="4">
                    <c:v>Loan EMI</c:v>
                  </c:pt>
                  <c:pt idx="5">
                    <c:v>Rent</c:v>
                  </c:pt>
                  <c:pt idx="6">
                    <c:v>Savings/Investment</c:v>
                  </c:pt>
                  <c:pt idx="7">
                    <c:v>Shopping</c:v>
                  </c:pt>
                  <c:pt idx="8">
                    <c:v>Transport</c:v>
                  </c:pt>
                  <c:pt idx="9">
                    <c:v>Utilities</c:v>
                  </c:pt>
                  <c:pt idx="10">
                    <c:v>Education</c:v>
                  </c:pt>
                  <c:pt idx="11">
                    <c:v>Entertainment</c:v>
                  </c:pt>
                  <c:pt idx="12">
                    <c:v>Groceries</c:v>
                  </c:pt>
                  <c:pt idx="13">
                    <c:v>Healthcare</c:v>
                  </c:pt>
                  <c:pt idx="14">
                    <c:v>Shopping</c:v>
                  </c:pt>
                  <c:pt idx="15">
                    <c:v>Transport</c:v>
                  </c:pt>
                </c:lvl>
                <c:lvl>
                  <c:pt idx="0">
                    <c:v>Yes</c:v>
                  </c:pt>
                  <c:pt idx="10">
                    <c:v>No</c:v>
                  </c:pt>
                </c:lvl>
              </c:multiLvlStrCache>
            </c:multiLvlStrRef>
          </c:cat>
          <c:val>
            <c:numRef>
              <c:f>PT_Recurring!$B$4:$B$22</c:f>
              <c:numCache>
                <c:formatCode>_-[$$-409]* #,##0.00_ ;_-[$$-409]* \-#,##0.00\ ;_-[$$-409]* "-"??_ ;_-@_ </c:formatCode>
                <c:ptCount val="16"/>
                <c:pt idx="0">
                  <c:v>3650.9100000000003</c:v>
                </c:pt>
                <c:pt idx="1">
                  <c:v>35450.630000000005</c:v>
                </c:pt>
                <c:pt idx="2">
                  <c:v>117380.13999999998</c:v>
                </c:pt>
                <c:pt idx="3">
                  <c:v>25201.4</c:v>
                </c:pt>
                <c:pt idx="4">
                  <c:v>1242239.1200000006</c:v>
                </c:pt>
                <c:pt idx="5">
                  <c:v>1341567.8799999994</c:v>
                </c:pt>
                <c:pt idx="6">
                  <c:v>672058.85999999987</c:v>
                </c:pt>
                <c:pt idx="7">
                  <c:v>66457.850000000006</c:v>
                </c:pt>
                <c:pt idx="8">
                  <c:v>19756.18</c:v>
                </c:pt>
                <c:pt idx="9">
                  <c:v>223500.02000000002</c:v>
                </c:pt>
                <c:pt idx="10">
                  <c:v>58108.189999999995</c:v>
                </c:pt>
                <c:pt idx="11">
                  <c:v>142291.83000000002</c:v>
                </c:pt>
                <c:pt idx="12">
                  <c:v>529191.87000000023</c:v>
                </c:pt>
                <c:pt idx="13">
                  <c:v>99050.120000000024</c:v>
                </c:pt>
                <c:pt idx="14">
                  <c:v>206582.60999999996</c:v>
                </c:pt>
                <c:pt idx="15">
                  <c:v>229534.06999999992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C-47F6-81BA-1DBE68779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6849263"/>
        <c:axId val="1841860751"/>
      </c:barChart>
      <c:catAx>
        <c:axId val="193684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60751"/>
        <c:crosses val="autoZero"/>
        <c:auto val="1"/>
        <c:lblAlgn val="ctr"/>
        <c:lblOffset val="100"/>
        <c:noMultiLvlLbl val="0"/>
      </c:catAx>
      <c:valAx>
        <c:axId val="184186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4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[budget_tracker_dataset.xlsx]PT_BudgetVsActual!PivotTable4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PT_BudgetVsActual!$B$3</c:f>
              <c:strCache>
                <c:ptCount val="1"/>
                <c:pt idx="0">
                  <c:v>Actual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PT_BudgetVsActual!$A$4:$A$14</c:f>
              <c:strCache>
                <c:ptCount val="10"/>
                <c:pt idx="0">
                  <c:v>Education</c:v>
                </c:pt>
                <c:pt idx="1">
                  <c:v>Entertainment</c:v>
                </c:pt>
                <c:pt idx="2">
                  <c:v>Groceries</c:v>
                </c:pt>
                <c:pt idx="3">
                  <c:v>Healthcare</c:v>
                </c:pt>
                <c:pt idx="4">
                  <c:v>Loan EMI</c:v>
                </c:pt>
                <c:pt idx="5">
                  <c:v>Rent</c:v>
                </c:pt>
                <c:pt idx="6">
                  <c:v>Savings/Investment</c:v>
                </c:pt>
                <c:pt idx="7">
                  <c:v>Shopping</c:v>
                </c:pt>
                <c:pt idx="8">
                  <c:v>Transport</c:v>
                </c:pt>
                <c:pt idx="9">
                  <c:v>Utilities</c:v>
                </c:pt>
              </c:strCache>
            </c:strRef>
          </c:cat>
          <c:val>
            <c:numRef>
              <c:f>PT_BudgetVsActual!$B$4:$B$14</c:f>
              <c:numCache>
                <c:formatCode>_-[$$-409]* #,##0.00_ ;_-[$$-409]* \-#,##0.00\ ;_-[$$-409]* "-"??_ ;_-@_ </c:formatCode>
                <c:ptCount val="10"/>
                <c:pt idx="0">
                  <c:v>61759.099999999991</c:v>
                </c:pt>
                <c:pt idx="1">
                  <c:v>177742.46</c:v>
                </c:pt>
                <c:pt idx="2">
                  <c:v>646572.01000000013</c:v>
                </c:pt>
                <c:pt idx="3">
                  <c:v>124251.52000000002</c:v>
                </c:pt>
                <c:pt idx="4">
                  <c:v>1242239.1200000006</c:v>
                </c:pt>
                <c:pt idx="5">
                  <c:v>1341567.8799999994</c:v>
                </c:pt>
                <c:pt idx="6">
                  <c:v>672058.85999999987</c:v>
                </c:pt>
                <c:pt idx="7">
                  <c:v>273040.45999999996</c:v>
                </c:pt>
                <c:pt idx="8">
                  <c:v>249290.24999999988</c:v>
                </c:pt>
                <c:pt idx="9">
                  <c:v>223500.02000000002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F-4C64-AAAD-6556C72F6A5F}"/>
            </c:ext>
          </c:extLst>
        </c:ser>
        <c:ser>
          <c:idx val="1"/>
          <c:order val="1"/>
          <c:tx>
            <c:strRef>
              <c:f>PT_BudgetVsActual!$C$3</c:f>
              <c:strCache>
                <c:ptCount val="1"/>
                <c:pt idx="0">
                  <c:v>Sum of Budgeted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PT_BudgetVsActual!$A$4:$A$14</c:f>
              <c:strCache>
                <c:ptCount val="10"/>
                <c:pt idx="0">
                  <c:v>Education</c:v>
                </c:pt>
                <c:pt idx="1">
                  <c:v>Entertainment</c:v>
                </c:pt>
                <c:pt idx="2">
                  <c:v>Groceries</c:v>
                </c:pt>
                <c:pt idx="3">
                  <c:v>Healthcare</c:v>
                </c:pt>
                <c:pt idx="4">
                  <c:v>Loan EMI</c:v>
                </c:pt>
                <c:pt idx="5">
                  <c:v>Rent</c:v>
                </c:pt>
                <c:pt idx="6">
                  <c:v>Savings/Investment</c:v>
                </c:pt>
                <c:pt idx="7">
                  <c:v>Shopping</c:v>
                </c:pt>
                <c:pt idx="8">
                  <c:v>Transport</c:v>
                </c:pt>
                <c:pt idx="9">
                  <c:v>Utilities</c:v>
                </c:pt>
              </c:strCache>
            </c:strRef>
          </c:cat>
          <c:val>
            <c:numRef>
              <c:f>PT_BudgetVsActual!$C$4:$C$14</c:f>
              <c:numCache>
                <c:formatCode>\$#,##0.00</c:formatCode>
                <c:ptCount val="10"/>
                <c:pt idx="0">
                  <c:v>68000</c:v>
                </c:pt>
                <c:pt idx="1">
                  <c:v>200000</c:v>
                </c:pt>
                <c:pt idx="2">
                  <c:v>720000</c:v>
                </c:pt>
                <c:pt idx="3">
                  <c:v>136000</c:v>
                </c:pt>
                <c:pt idx="4">
                  <c:v>1344000</c:v>
                </c:pt>
                <c:pt idx="5">
                  <c:v>1485000</c:v>
                </c:pt>
                <c:pt idx="6">
                  <c:v>720000</c:v>
                </c:pt>
                <c:pt idx="7">
                  <c:v>292000</c:v>
                </c:pt>
                <c:pt idx="8">
                  <c:v>280000</c:v>
                </c:pt>
                <c:pt idx="9">
                  <c:v>249000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9F-4C64-AAAD-6556C72F6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245103"/>
        <c:axId val="1878113055"/>
      </c:barChart>
      <c:catAx>
        <c:axId val="155924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113055"/>
        <c:crosses val="autoZero"/>
        <c:auto val="1"/>
        <c:lblAlgn val="ctr"/>
        <c:lblOffset val="100"/>
        <c:noMultiLvlLbl val="0"/>
      </c:catAx>
      <c:valAx>
        <c:axId val="187811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24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[budget_tracker_dataset.xlsx]PT_Recurring!PivotTable5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PT_Recurring!$B$3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PT_Recurring!$A$4:$A$22</c:f>
              <c:multiLvlStrCache>
                <c:ptCount val="16"/>
                <c:lvl>
                  <c:pt idx="0">
                    <c:v>Education</c:v>
                  </c:pt>
                  <c:pt idx="1">
                    <c:v>Entertainment</c:v>
                  </c:pt>
                  <c:pt idx="2">
                    <c:v>Groceries</c:v>
                  </c:pt>
                  <c:pt idx="3">
                    <c:v>Healthcare</c:v>
                  </c:pt>
                  <c:pt idx="4">
                    <c:v>Loan EMI</c:v>
                  </c:pt>
                  <c:pt idx="5">
                    <c:v>Rent</c:v>
                  </c:pt>
                  <c:pt idx="6">
                    <c:v>Savings/Investment</c:v>
                  </c:pt>
                  <c:pt idx="7">
                    <c:v>Shopping</c:v>
                  </c:pt>
                  <c:pt idx="8">
                    <c:v>Transport</c:v>
                  </c:pt>
                  <c:pt idx="9">
                    <c:v>Utilities</c:v>
                  </c:pt>
                  <c:pt idx="10">
                    <c:v>Education</c:v>
                  </c:pt>
                  <c:pt idx="11">
                    <c:v>Entertainment</c:v>
                  </c:pt>
                  <c:pt idx="12">
                    <c:v>Groceries</c:v>
                  </c:pt>
                  <c:pt idx="13">
                    <c:v>Healthcare</c:v>
                  </c:pt>
                  <c:pt idx="14">
                    <c:v>Shopping</c:v>
                  </c:pt>
                  <c:pt idx="15">
                    <c:v>Transport</c:v>
                  </c:pt>
                </c:lvl>
                <c:lvl>
                  <c:pt idx="0">
                    <c:v>Yes</c:v>
                  </c:pt>
                  <c:pt idx="10">
                    <c:v>No</c:v>
                  </c:pt>
                </c:lvl>
              </c:multiLvlStrCache>
            </c:multiLvlStrRef>
          </c:cat>
          <c:val>
            <c:numRef>
              <c:f>PT_Recurring!$B$4:$B$22</c:f>
              <c:numCache>
                <c:formatCode>_-[$$-409]* #,##0.00_ ;_-[$$-409]* \-#,##0.00\ ;_-[$$-409]* "-"??_ ;_-@_ </c:formatCode>
                <c:ptCount val="16"/>
                <c:pt idx="0">
                  <c:v>3650.9100000000003</c:v>
                </c:pt>
                <c:pt idx="1">
                  <c:v>35450.630000000005</c:v>
                </c:pt>
                <c:pt idx="2">
                  <c:v>117380.13999999998</c:v>
                </c:pt>
                <c:pt idx="3">
                  <c:v>25201.4</c:v>
                </c:pt>
                <c:pt idx="4">
                  <c:v>1242239.1200000006</c:v>
                </c:pt>
                <c:pt idx="5">
                  <c:v>1341567.8799999994</c:v>
                </c:pt>
                <c:pt idx="6">
                  <c:v>672058.85999999987</c:v>
                </c:pt>
                <c:pt idx="7">
                  <c:v>66457.850000000006</c:v>
                </c:pt>
                <c:pt idx="8">
                  <c:v>19756.18</c:v>
                </c:pt>
                <c:pt idx="9">
                  <c:v>223500.02000000002</c:v>
                </c:pt>
                <c:pt idx="10">
                  <c:v>58108.189999999995</c:v>
                </c:pt>
                <c:pt idx="11">
                  <c:v>142291.83000000002</c:v>
                </c:pt>
                <c:pt idx="12">
                  <c:v>529191.87000000023</c:v>
                </c:pt>
                <c:pt idx="13">
                  <c:v>99050.120000000024</c:v>
                </c:pt>
                <c:pt idx="14">
                  <c:v>206582.60999999996</c:v>
                </c:pt>
                <c:pt idx="15">
                  <c:v>229534.06999999992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0-49C8-902A-60012570A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6849263"/>
        <c:axId val="1841860751"/>
      </c:barChart>
      <c:catAx>
        <c:axId val="193684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60751"/>
        <c:crosses val="autoZero"/>
        <c:auto val="1"/>
        <c:lblAlgn val="ctr"/>
        <c:lblOffset val="100"/>
        <c:noMultiLvlLbl val="0"/>
      </c:catAx>
      <c:valAx>
        <c:axId val="184186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84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[budget_tracker_dataset.xlsx]PT_Trend!PivotTable2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PT_Trend!$B$3:$B$4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PT_Trend!$A$5:$A$25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PT_Trend!$B$5:$B$25</c:f>
              <c:numCache>
                <c:formatCode>_-[$$-409]* #,##0.00_ ;_-[$$-409]* \-#,##0.00\ ;_-[$$-409]* "-"??_ ;_-@_ </c:formatCode>
                <c:ptCount val="18"/>
                <c:pt idx="0">
                  <c:v>257734.58999999997</c:v>
                </c:pt>
                <c:pt idx="1">
                  <c:v>318652.67999999988</c:v>
                </c:pt>
                <c:pt idx="2">
                  <c:v>313100.68</c:v>
                </c:pt>
                <c:pt idx="3">
                  <c:v>307327.2</c:v>
                </c:pt>
                <c:pt idx="4">
                  <c:v>181933.56999999998</c:v>
                </c:pt>
                <c:pt idx="5">
                  <c:v>261055.27999999997</c:v>
                </c:pt>
                <c:pt idx="6">
                  <c:v>263095.67</c:v>
                </c:pt>
                <c:pt idx="7">
                  <c:v>252601.86000000004</c:v>
                </c:pt>
                <c:pt idx="8">
                  <c:v>254904.44000000006</c:v>
                </c:pt>
                <c:pt idx="9">
                  <c:v>383381.87999999989</c:v>
                </c:pt>
                <c:pt idx="10">
                  <c:v>248573.12999999998</c:v>
                </c:pt>
                <c:pt idx="11">
                  <c:v>377771.31999999995</c:v>
                </c:pt>
                <c:pt idx="12">
                  <c:v>233261.77000000002</c:v>
                </c:pt>
                <c:pt idx="13">
                  <c:v>216115.57999999996</c:v>
                </c:pt>
                <c:pt idx="14">
                  <c:v>311032.87</c:v>
                </c:pt>
                <c:pt idx="15">
                  <c:v>305265.89999999997</c:v>
                </c:pt>
                <c:pt idx="16">
                  <c:v>193399.38000000003</c:v>
                </c:pt>
                <c:pt idx="17">
                  <c:v>332813.88000000006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C-4876-BF4A-C5CF69A46355}"/>
            </c:ext>
          </c:extLst>
        </c:ser>
        <c:ser>
          <c:idx val="1"/>
          <c:order val="1"/>
          <c:tx>
            <c:strRef>
              <c:f>PT_Trend!$C$3:$C$4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PT_Trend!$A$5:$A$25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PT_Trend!$C$5:$C$25</c:f>
              <c:numCache>
                <c:formatCode>_-[$$-409]* #,##0.00_ ;_-[$$-409]* \-#,##0.00\ ;_-[$$-409]* "-"??_ ;_-@_ </c:formatCode>
                <c:ptCount val="18"/>
                <c:pt idx="0">
                  <c:v>453311.73000000004</c:v>
                </c:pt>
                <c:pt idx="1">
                  <c:v>379354.46</c:v>
                </c:pt>
                <c:pt idx="2">
                  <c:v>278131.33</c:v>
                </c:pt>
                <c:pt idx="3">
                  <c:v>388203.17000000004</c:v>
                </c:pt>
                <c:pt idx="4">
                  <c:v>262754.40999999997</c:v>
                </c:pt>
                <c:pt idx="5">
                  <c:v>372829.77999999997</c:v>
                </c:pt>
                <c:pt idx="6">
                  <c:v>365604.99</c:v>
                </c:pt>
                <c:pt idx="7">
                  <c:v>322980.42000000004</c:v>
                </c:pt>
                <c:pt idx="8">
                  <c:v>255004.33000000002</c:v>
                </c:pt>
                <c:pt idx="9">
                  <c:v>305399.58999999997</c:v>
                </c:pt>
                <c:pt idx="10">
                  <c:v>314855.78999999998</c:v>
                </c:pt>
                <c:pt idx="11">
                  <c:v>354336.37</c:v>
                </c:pt>
                <c:pt idx="12">
                  <c:v>181022.02</c:v>
                </c:pt>
                <c:pt idx="13">
                  <c:v>160558.93</c:v>
                </c:pt>
                <c:pt idx="14">
                  <c:v>539555.32999999996</c:v>
                </c:pt>
                <c:pt idx="15">
                  <c:v>231234.65000000002</c:v>
                </c:pt>
                <c:pt idx="16">
                  <c:v>353186.89999999997</c:v>
                </c:pt>
                <c:pt idx="17">
                  <c:v>352856.30000000005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E-46F4-AEF1-DF136DA95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286831"/>
        <c:axId val="1734287311"/>
      </c:barChart>
      <c:catAx>
        <c:axId val="17342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87311"/>
        <c:crosses val="autoZero"/>
        <c:auto val="1"/>
        <c:lblAlgn val="ctr"/>
        <c:lblOffset val="100"/>
        <c:noMultiLvlLbl val="0"/>
      </c:catAx>
      <c:valAx>
        <c:axId val="173428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8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[budget_tracker_dataset.xlsx]PT_Category!PivotTable3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PT_Category!$A$4:$A$14</c:f>
              <c:strCache>
                <c:ptCount val="10"/>
                <c:pt idx="0">
                  <c:v>Education</c:v>
                </c:pt>
                <c:pt idx="1">
                  <c:v>Entertainment</c:v>
                </c:pt>
                <c:pt idx="2">
                  <c:v>Groceries</c:v>
                </c:pt>
                <c:pt idx="3">
                  <c:v>Healthcare</c:v>
                </c:pt>
                <c:pt idx="4">
                  <c:v>Loan EMI</c:v>
                </c:pt>
                <c:pt idx="5">
                  <c:v>Rent</c:v>
                </c:pt>
                <c:pt idx="6">
                  <c:v>Savings/Investment</c:v>
                </c:pt>
                <c:pt idx="7">
                  <c:v>Shopping</c:v>
                </c:pt>
                <c:pt idx="8">
                  <c:v>Transport</c:v>
                </c:pt>
                <c:pt idx="9">
                  <c:v>Utilities</c:v>
                </c:pt>
              </c:strCache>
            </c:strRef>
          </c:cat>
          <c:val>
            <c:numRef>
              <c:f>PT_Category!$B$4:$B$14</c:f>
              <c:numCache>
                <c:formatCode>_-[$$-409]* #,##0.00_ ;_-[$$-409]* \-#,##0.00\ ;_-[$$-409]* "-"??_ ;_-@_ </c:formatCode>
                <c:ptCount val="10"/>
                <c:pt idx="0">
                  <c:v>61759.099999999991</c:v>
                </c:pt>
                <c:pt idx="1">
                  <c:v>177742.46</c:v>
                </c:pt>
                <c:pt idx="2">
                  <c:v>646572.01000000013</c:v>
                </c:pt>
                <c:pt idx="3">
                  <c:v>124251.52000000002</c:v>
                </c:pt>
                <c:pt idx="4">
                  <c:v>1242239.1200000006</c:v>
                </c:pt>
                <c:pt idx="5">
                  <c:v>1341567.8799999994</c:v>
                </c:pt>
                <c:pt idx="6">
                  <c:v>672058.85999999987</c:v>
                </c:pt>
                <c:pt idx="7">
                  <c:v>273040.45999999996</c:v>
                </c:pt>
                <c:pt idx="8">
                  <c:v>249290.24999999988</c:v>
                </c:pt>
                <c:pt idx="9">
                  <c:v>223500.02000000002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D-4582-90C6-3B5518BDC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1836127"/>
        <c:axId val="1841835167"/>
      </c:barChart>
      <c:catAx>
        <c:axId val="184183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35167"/>
        <c:crosses val="autoZero"/>
        <c:auto val="1"/>
        <c:lblAlgn val="ctr"/>
        <c:lblOffset val="100"/>
        <c:noMultiLvlLbl val="0"/>
      </c:catAx>
      <c:valAx>
        <c:axId val="184183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3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11</xdr:col>
      <xdr:colOff>579120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C8875-624D-45DB-9D04-1131F8EC6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6</xdr:row>
      <xdr:rowOff>183613</xdr:rowOff>
    </xdr:from>
    <xdr:to>
      <xdr:col>23</xdr:col>
      <xdr:colOff>586740</xdr:colOff>
      <xdr:row>19</xdr:row>
      <xdr:rowOff>146890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7DA636-F1A4-4F32-8D3F-1C77B330C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601980</xdr:colOff>
      <xdr:row>20</xdr:row>
      <xdr:rowOff>137711</xdr:rowOff>
    </xdr:from>
    <xdr:to>
      <xdr:col>11</xdr:col>
      <xdr:colOff>548640</xdr:colOff>
      <xdr:row>35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5BD71E-FA2E-4840-BC4B-4B75531C9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605927</xdr:colOff>
      <xdr:row>21</xdr:row>
      <xdr:rowOff>0</xdr:rowOff>
    </xdr:from>
    <xdr:to>
      <xdr:col>24</xdr:col>
      <xdr:colOff>18361</xdr:colOff>
      <xdr:row>35</xdr:row>
      <xdr:rowOff>82627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24BB86-4BA5-43C7-B87E-DA3A45DC0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6</xdr:row>
      <xdr:rowOff>41910</xdr:rowOff>
    </xdr:from>
    <xdr:to>
      <xdr:col>13</xdr:col>
      <xdr:colOff>358140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07F41-0B3B-FA51-4820-F2E496DAE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6</xdr:row>
      <xdr:rowOff>41910</xdr:rowOff>
    </xdr:from>
    <xdr:to>
      <xdr:col>11</xdr:col>
      <xdr:colOff>99060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0C535-368A-001F-384E-DDF923750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6</xdr:row>
      <xdr:rowOff>57150</xdr:rowOff>
    </xdr:from>
    <xdr:to>
      <xdr:col>12</xdr:col>
      <xdr:colOff>358140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2C1B6-AF79-F18C-2ED6-0D3162051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179070</xdr:rowOff>
    </xdr:from>
    <xdr:to>
      <xdr:col>10</xdr:col>
      <xdr:colOff>320040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0ACFF-3CB1-9ECB-9361-E1AC69EDB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tturi nanaji" refreshedDate="46227.624459259256" createdVersion="8" refreshedVersion="8" minRefreshableVersion="3" recordCount="1000" xr:uid="{92DABEFD-8E73-4C11-914C-FD66C8067FC0}">
  <cacheSource type="worksheet">
    <worksheetSource ref="A1:O1001" sheet="Transactions"/>
  </cacheSource>
  <cacheFields count="17">
    <cacheField name="Transaction ID" numFmtId="0">
      <sharedItems/>
    </cacheField>
    <cacheField name="Date" numFmtId="164">
      <sharedItems containsSemiMixedTypes="0" containsNonDate="0" containsDate="1" containsString="0" minDate="2024-01-02T00:00:00" maxDate="2025-06-28T00:00:00" count="453">
        <d v="2024-01-02T00:00:00"/>
        <d v="2024-01-03T00:00:00"/>
        <d v="2024-01-04T00:00:00"/>
        <d v="2024-01-05T00:00:00"/>
        <d v="2024-01-07T00:00:00"/>
        <d v="2024-01-08T00:00:00"/>
        <d v="2024-01-09T00:00:00"/>
        <d v="2024-01-10T00:00:00"/>
        <d v="2024-01-11T00:00:00"/>
        <d v="2024-01-13T00:00:00"/>
        <d v="2024-01-14T00:00:00"/>
        <d v="2024-01-15T00:00:00"/>
        <d v="2024-01-17T00:00:00"/>
        <d v="2024-01-19T00:00:00"/>
        <d v="2024-01-20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2T00:00:00"/>
        <d v="2024-02-23T00:00:00"/>
        <d v="2024-02-25T00:00:00"/>
        <d v="2024-02-27T00:00:00"/>
        <d v="2024-02-29T00:00:00"/>
        <d v="2024-03-01T00:00:00"/>
        <d v="2024-03-02T00:00:00"/>
        <d v="2024-03-04T00:00:00"/>
        <d v="2024-03-05T00:00:00"/>
        <d v="2024-03-06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2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8T00:00:00"/>
        <d v="2024-04-19T00:00:00"/>
        <d v="2024-04-20T00:00:00"/>
        <d v="2024-04-21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2T00:00:00"/>
        <d v="2024-05-24T00:00:00"/>
        <d v="2024-05-25T00:00:00"/>
        <d v="2024-05-26T00:00:00"/>
        <d v="2024-05-27T00:00:00"/>
        <d v="2024-05-28T00:00:00"/>
        <d v="2024-05-29T00:00:00"/>
        <d v="2024-06-01T00:00:00"/>
        <d v="2024-06-02T00:00:00"/>
        <d v="2024-06-03T00:00:00"/>
        <d v="2024-06-06T00:00:00"/>
        <d v="2024-06-07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9T00:00:00"/>
        <d v="2024-07-10T00:00:00"/>
        <d v="2024-07-11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5T00:00:00"/>
        <d v="2024-07-26T00:00:00"/>
        <d v="2024-07-27T00:00:00"/>
        <d v="2024-07-28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2T00:00:00"/>
        <d v="2024-08-23T00:00:00"/>
        <d v="2024-08-24T00:00:00"/>
        <d v="2024-08-28T00:00:00"/>
        <d v="2024-08-29T00:00:00"/>
        <d v="2024-08-30T00:00:00"/>
        <d v="2024-08-31T00:00:00"/>
        <d v="2024-09-02T00:00:00"/>
        <d v="2024-09-03T00:00:00"/>
        <d v="2024-09-04T00:00:00"/>
        <d v="2024-09-05T00:00:00"/>
        <d v="2024-09-06T00:00:00"/>
        <d v="2024-09-07T00:00:00"/>
        <d v="2024-09-10T00:00:00"/>
        <d v="2024-09-11T00:00:00"/>
        <d v="2024-09-12T00:00:00"/>
        <d v="2024-09-13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9T00:00:00"/>
        <d v="2024-11-10T00:00:00"/>
        <d v="2024-11-11T00:00:00"/>
        <d v="2024-11-12T00:00:00"/>
        <d v="2024-11-13T00:00:00"/>
        <d v="2024-11-15T00:00:00"/>
        <d v="2024-11-16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6T00:00:00"/>
        <d v="2024-11-27T00:00:00"/>
        <d v="2024-11-28T00:00:00"/>
        <d v="2024-11-29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8T00:00:00"/>
        <d v="2025-01-09T00:00:00"/>
        <d v="2025-01-11T00:00:00"/>
        <d v="2025-01-14T00:00:00"/>
        <d v="2025-01-15T00:00:00"/>
        <d v="2025-01-16T00:00:00"/>
        <d v="2025-01-17T00:00:00"/>
        <d v="2025-01-19T00:00:00"/>
        <d v="2025-01-21T00:00:00"/>
        <d v="2025-01-23T00:00:00"/>
        <d v="2025-01-24T00:00:00"/>
        <d v="2025-01-25T00:00:00"/>
        <d v="2025-01-26T00:00:00"/>
        <d v="2025-01-27T00:00:00"/>
        <d v="2025-01-29T00:00:00"/>
        <d v="2025-02-01T00:00:00"/>
        <d v="2025-02-02T00:00:00"/>
        <d v="2025-02-03T00:00:00"/>
        <d v="2025-02-04T00:00:00"/>
        <d v="2025-02-06T00:00:00"/>
        <d v="2025-02-08T00:00:00"/>
        <d v="2025-02-09T00:00:00"/>
        <d v="2025-02-10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8T00:00:00"/>
        <d v="2025-03-01T00:00:00"/>
        <d v="2025-03-03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4T00:00:00"/>
        <d v="2025-03-15T00:00:00"/>
        <d v="2025-03-16T00:00:00"/>
        <d v="2025-03-18T00:00:00"/>
        <d v="2025-03-19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7T00:00:00"/>
        <d v="2025-04-19T00:00:00"/>
        <d v="2025-04-20T00:00:00"/>
        <d v="2025-04-21T00:00:00"/>
        <d v="2025-04-22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8T00:00:00"/>
        <d v="2025-05-30T00:00:00"/>
        <d v="2025-05-31T00:00:00"/>
        <d v="2025-06-01T00:00:00"/>
        <d v="2025-06-02T00:00:00"/>
        <d v="2025-06-03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</sharedItems>
      <fieldGroup par="16"/>
    </cacheField>
    <cacheField name="Month" numFmtId="0">
      <sharedItems/>
    </cacheField>
    <cacheField name="Type" numFmtId="0">
      <sharedItems count="2">
        <s v="Expense"/>
        <s v="Income"/>
      </sharedItems>
    </cacheField>
    <cacheField name="Category" numFmtId="0">
      <sharedItems count="13">
        <s v="Loan EMI"/>
        <s v="Entertainment"/>
        <s v="Utilities"/>
        <s v="Shopping"/>
        <s v="Groceries"/>
        <s v="Rent"/>
        <s v="Transport"/>
        <s v="Salary"/>
        <s v="Education"/>
        <s v="Freelance"/>
        <s v="Healthcare"/>
        <s v="Savings/Investment"/>
        <s v="Investment"/>
      </sharedItems>
    </cacheField>
    <cacheField name="Sub-Category" numFmtId="0">
      <sharedItems count="32">
        <s v="Personal Loan EMI"/>
        <s v="Movies"/>
        <s v="Internet Bill"/>
        <s v="Electronics"/>
        <s v="Supermarket"/>
        <s v="House Rent"/>
        <s v="Cab/Taxi"/>
        <s v="Monthly Salary"/>
        <s v="Home Loan EMI"/>
        <s v="Streaming Subscription"/>
        <s v="Books"/>
        <s v="Public Transport"/>
        <s v="Mobile Recharge"/>
        <s v="Car Loan EMI"/>
        <s v="Project Payment"/>
        <s v="Clothing"/>
        <s v="Local Market"/>
        <s v="Pharmacy"/>
        <s v="Electricity Bill"/>
        <s v="Mutual Fund SIP"/>
        <s v="Course Fee"/>
        <s v="Fixed Deposit"/>
        <s v="Outing"/>
        <s v="Online Shopping"/>
        <s v="Health Insurance"/>
        <s v="Consulting Fee"/>
        <s v="Fuel"/>
        <s v="Doctor Visit"/>
        <s v="Stocks"/>
        <s v="Interest Income"/>
        <s v="Water Bill"/>
        <s v="Dividend"/>
      </sharedItems>
    </cacheField>
    <cacheField name="Description" numFmtId="0">
      <sharedItems/>
    </cacheField>
    <cacheField name="Payment Method" numFmtId="0">
      <sharedItems/>
    </cacheField>
    <cacheField name="Amount" numFmtId="166">
      <sharedItems containsSemiMixedTypes="0" containsString="0" containsNumber="1" minValue="1019.66" maxValue="54993.62" count="1000">
        <n v="14721.5"/>
        <n v="2992.04"/>
        <n v="1652.03"/>
        <n v="3958.95"/>
        <n v="7132.33"/>
        <n v="13934.06"/>
        <n v="4262.7299999999996"/>
        <n v="51320.36"/>
        <n v="2155.5100000000002"/>
        <n v="12191.71"/>
        <n v="51405.21"/>
        <n v="43740.05"/>
        <n v="18669.28"/>
        <n v="1844.73"/>
        <n v="12382.12"/>
        <n v="53176.54"/>
        <n v="6042.03"/>
        <n v="1072.07"/>
        <n v="13053.31"/>
        <n v="3306.63"/>
        <n v="2930.3"/>
        <n v="10675.61"/>
        <n v="3873.43"/>
        <n v="11099.03"/>
        <n v="1311.05"/>
        <n v="2056.7600000000002"/>
        <n v="1311.64"/>
        <n v="3893.16"/>
        <n v="4706.49"/>
        <n v="2607.5500000000002"/>
        <n v="1656.45"/>
        <n v="17801.8"/>
        <n v="11638.41"/>
        <n v="2404.7800000000002"/>
        <n v="18478.34"/>
        <n v="2822.89"/>
        <n v="4592.6899999999996"/>
        <n v="3242.24"/>
        <n v="12007.58"/>
        <n v="3712.34"/>
        <n v="49072.95"/>
        <n v="44916.03"/>
        <n v="52134.62"/>
        <n v="54829.05"/>
        <n v="41617.89"/>
        <n v="2116.62"/>
        <n v="18442.66"/>
        <n v="6080.77"/>
        <n v="44276.73"/>
        <n v="15431.86"/>
        <n v="42308.93"/>
        <n v="48666.12"/>
        <n v="2206.0300000000002"/>
        <n v="9083.24"/>
        <n v="10331.94"/>
        <n v="9113.9699999999993"/>
        <n v="46096.76"/>
        <n v="42013.42"/>
        <n v="1288.72"/>
        <n v="2083.75"/>
        <n v="9842.36"/>
        <n v="1796.74"/>
        <n v="7730.63"/>
        <n v="13889.7"/>
        <n v="2052.4"/>
        <n v="9053.26"/>
        <n v="10286.34"/>
        <n v="15481.88"/>
        <n v="12380.25"/>
        <n v="11035.34"/>
        <n v="1495.9"/>
        <n v="3894.18"/>
        <n v="50937.53"/>
        <n v="15026.68"/>
        <n v="2643.02"/>
        <n v="2518.8200000000002"/>
        <n v="15256.81"/>
        <n v="3603.71"/>
        <n v="2762.31"/>
        <n v="1030.6500000000001"/>
        <n v="11445.98"/>
        <n v="1293.02"/>
        <n v="6491.32"/>
        <n v="4881.5600000000004"/>
        <n v="10220.93"/>
        <n v="2134.9"/>
        <n v="12035.33"/>
        <n v="3536.91"/>
        <n v="4223.78"/>
        <n v="2043.97"/>
        <n v="1548.3"/>
        <n v="8708.41"/>
        <n v="51539.45"/>
        <n v="7902.37"/>
        <n v="4156.0200000000004"/>
        <n v="4906.07"/>
        <n v="4517.96"/>
        <n v="7722.89"/>
        <n v="17789.23"/>
        <n v="1679.38"/>
        <n v="4291.17"/>
        <n v="10120.549999999999"/>
        <n v="4832.72"/>
        <n v="2884.75"/>
        <n v="41480.19"/>
        <n v="45104.480000000003"/>
        <n v="15473.27"/>
        <n v="3055.6"/>
        <n v="52211.22"/>
        <n v="9480.25"/>
        <n v="3461.11"/>
        <n v="2438.5300000000002"/>
        <n v="18760.18"/>
        <n v="1884.67"/>
        <n v="11580.81"/>
        <n v="6868.68"/>
        <n v="14343.51"/>
        <n v="54831.07"/>
        <n v="3681.61"/>
        <n v="5246.06"/>
        <n v="12763.72"/>
        <n v="54226.42"/>
        <n v="11976.31"/>
        <n v="3253.44"/>
        <n v="17968.97"/>
        <n v="6637.8"/>
        <n v="4992.66"/>
        <n v="13932.17"/>
        <n v="5961.53"/>
        <n v="4751.97"/>
        <n v="10205.51"/>
        <n v="4344.62"/>
        <n v="8665.57"/>
        <n v="11340.79"/>
        <n v="7003.11"/>
        <n v="2213.48"/>
        <n v="2856.53"/>
        <n v="5769.37"/>
        <n v="2322.89"/>
        <n v="13801.03"/>
        <n v="50743.63"/>
        <n v="1713.04"/>
        <n v="3261.84"/>
        <n v="2569.12"/>
        <n v="3021.92"/>
        <n v="3585.96"/>
        <n v="2383.0300000000002"/>
        <n v="3730.11"/>
        <n v="7163.94"/>
        <n v="2273.59"/>
        <n v="6429.43"/>
        <n v="2962.02"/>
        <n v="4258.34"/>
        <n v="1359.98"/>
        <n v="10072.42"/>
        <n v="8690.19"/>
        <n v="7651.41"/>
        <n v="10444.969999999999"/>
        <n v="5508.13"/>
        <n v="7527.82"/>
        <n v="41785.9"/>
        <n v="3114.73"/>
        <n v="53538.25"/>
        <n v="6602.61"/>
        <n v="7729.65"/>
        <n v="3139.11"/>
        <n v="3541.79"/>
        <n v="15182.34"/>
        <n v="8932.74"/>
        <n v="19470.12"/>
        <n v="54500.19"/>
        <n v="1116.69"/>
        <n v="6209.73"/>
        <n v="12123.94"/>
        <n v="3925.14"/>
        <n v="15609.57"/>
        <n v="2991.45"/>
        <n v="45193.33"/>
        <n v="1860.77"/>
        <n v="8989.19"/>
        <n v="8498.0499999999993"/>
        <n v="18661.439999999999"/>
        <n v="14625.61"/>
        <n v="46935.44"/>
        <n v="9853.89"/>
        <n v="1600.85"/>
        <n v="2598.3000000000002"/>
        <n v="17889.12"/>
        <n v="1461.06"/>
        <n v="2470.4"/>
        <n v="15497.61"/>
        <n v="2342.6"/>
        <n v="2972.7"/>
        <n v="1707.55"/>
        <n v="3607.02"/>
        <n v="6205.49"/>
        <n v="1314.64"/>
        <n v="43190.01"/>
        <n v="1356.57"/>
        <n v="12904.42"/>
        <n v="1955.93"/>
        <n v="2276.65"/>
        <n v="9738.68"/>
        <n v="6036.4"/>
        <n v="2391.58"/>
        <n v="3197.32"/>
        <n v="3490.88"/>
        <n v="8252.7199999999993"/>
        <n v="3630.67"/>
        <n v="1763.19"/>
        <n v="9288.2800000000007"/>
        <n v="41052.01"/>
        <n v="2292.73"/>
        <n v="3984.27"/>
        <n v="54035.12"/>
        <n v="3366.11"/>
        <n v="3510.33"/>
        <n v="2702.96"/>
        <n v="18851.080000000002"/>
        <n v="2069.17"/>
        <n v="4597.5200000000004"/>
        <n v="2754.29"/>
        <n v="1263.05"/>
        <n v="52196.75"/>
        <n v="2595.14"/>
        <n v="1221.96"/>
        <n v="1388.39"/>
        <n v="5265.55"/>
        <n v="46880.41"/>
        <n v="3750.38"/>
        <n v="3602.51"/>
        <n v="9186.75"/>
        <n v="2778.93"/>
        <n v="2430.6"/>
        <n v="1621.14"/>
        <n v="2325.75"/>
        <n v="54561.29"/>
        <n v="3679.68"/>
        <n v="1616.44"/>
        <n v="1562.94"/>
        <n v="44198.92"/>
        <n v="13732"/>
        <n v="9760.18"/>
        <n v="1542.19"/>
        <n v="8836.48"/>
        <n v="5715.77"/>
        <n v="6257.04"/>
        <n v="54993.62"/>
        <n v="6320.91"/>
        <n v="5546.63"/>
        <n v="17566.849999999999"/>
        <n v="4802.8"/>
        <n v="2127.69"/>
        <n v="5598.04"/>
        <n v="2479.56"/>
        <n v="2433.81"/>
        <n v="3963.34"/>
        <n v="10084.93"/>
        <n v="1267.1500000000001"/>
        <n v="3061.66"/>
        <n v="1985.4"/>
        <n v="10080.83"/>
        <n v="16001.63"/>
        <n v="4616.5"/>
        <n v="3609.1"/>
        <n v="7806.64"/>
        <n v="8912.25"/>
        <n v="8244.48"/>
        <n v="3203.9"/>
        <n v="2346.21"/>
        <n v="2921.27"/>
        <n v="1179.27"/>
        <n v="2117.0700000000002"/>
        <n v="54856.55"/>
        <n v="51599.44"/>
        <n v="8251.93"/>
        <n v="9058.02"/>
        <n v="7512.25"/>
        <n v="1853.95"/>
        <n v="52205.74"/>
        <n v="7879.82"/>
        <n v="7761.44"/>
        <n v="7382.78"/>
        <n v="4804.92"/>
        <n v="4291.9799999999996"/>
        <n v="44058.400000000001"/>
        <n v="9947.25"/>
        <n v="3170.97"/>
        <n v="54568.08"/>
        <n v="6556.28"/>
        <n v="14532.57"/>
        <n v="4469.0600000000004"/>
        <n v="1824.93"/>
        <n v="10503.7"/>
        <n v="2719.11"/>
        <n v="14289.44"/>
        <n v="1935.28"/>
        <n v="6401.03"/>
        <n v="1882.09"/>
        <n v="8232.7999999999993"/>
        <n v="3897.14"/>
        <n v="3236.32"/>
        <n v="52587.97"/>
        <n v="53809.82"/>
        <n v="6494.38"/>
        <n v="2881.74"/>
        <n v="6899.05"/>
        <n v="7257.46"/>
        <n v="1936.97"/>
        <n v="1934.96"/>
        <n v="5061.34"/>
        <n v="2297.54"/>
        <n v="5939.88"/>
        <n v="2462.33"/>
        <n v="3599.2"/>
        <n v="1624.65"/>
        <n v="8423.2900000000009"/>
        <n v="48074.77"/>
        <n v="51545.5"/>
        <n v="2511.13"/>
        <n v="6017.8"/>
        <n v="4013.13"/>
        <n v="5489.1"/>
        <n v="3164.4"/>
        <n v="3629.18"/>
        <n v="5332.1"/>
        <n v="2568.23"/>
        <n v="5751.33"/>
        <n v="17423.32"/>
        <n v="3831.68"/>
        <n v="9172.56"/>
        <n v="9322.1200000000008"/>
        <n v="1509.65"/>
        <n v="2015.32"/>
        <n v="53705.55"/>
        <n v="4415.47"/>
        <n v="51164.23"/>
        <n v="2937.25"/>
        <n v="6703.3"/>
        <n v="2492.35"/>
        <n v="10536.69"/>
        <n v="2934.41"/>
        <n v="5821.45"/>
        <n v="7018.17"/>
        <n v="6727.85"/>
        <n v="2642.22"/>
        <n v="11736.96"/>
        <n v="3044.37"/>
        <n v="9082.3799999999992"/>
        <n v="1977.16"/>
        <n v="2420.2600000000002"/>
        <n v="2170.0500000000002"/>
        <n v="3037.56"/>
        <n v="2298.4299999999998"/>
        <n v="14887.8"/>
        <n v="8499.1"/>
        <n v="7616.14"/>
        <n v="3466.55"/>
        <n v="4104.72"/>
        <n v="40076.080000000002"/>
        <n v="13052.11"/>
        <n v="4267.4399999999996"/>
        <n v="6904.62"/>
        <n v="40356.18"/>
        <n v="2984.3"/>
        <n v="54551.16"/>
        <n v="2502.11"/>
        <n v="9195.99"/>
        <n v="1677.91"/>
        <n v="3752.27"/>
        <n v="4621.74"/>
        <n v="14197.91"/>
        <n v="1676.98"/>
        <n v="3816.33"/>
        <n v="2207.85"/>
        <n v="9969.92"/>
        <n v="54291.27"/>
        <n v="1477.33"/>
        <n v="4475.1499999999996"/>
        <n v="5105.2"/>
        <n v="6630.46"/>
        <n v="1921.34"/>
        <n v="5979.48"/>
        <n v="2995.37"/>
        <n v="2591.88"/>
        <n v="5382.76"/>
        <n v="15685.45"/>
        <n v="13945.92"/>
        <n v="53918.7"/>
        <n v="2146.25"/>
        <n v="4093.98"/>
        <n v="6056.65"/>
        <n v="4006.89"/>
        <n v="5109.47"/>
        <n v="7462.47"/>
        <n v="2417.9299999999998"/>
        <n v="6067.08"/>
        <n v="2920.95"/>
        <n v="4100.6400000000003"/>
        <n v="9041.2000000000007"/>
        <n v="11816.94"/>
        <n v="1847.85"/>
        <n v="5433.86"/>
        <n v="47346.09"/>
        <n v="47883.06"/>
        <n v="1472.16"/>
        <n v="1818.82"/>
        <n v="2209.38"/>
        <n v="2030.13"/>
        <n v="7943.38"/>
        <n v="6732.09"/>
        <n v="5785.08"/>
        <n v="3178.81"/>
        <n v="1798.52"/>
        <n v="46357.16"/>
        <n v="3952.76"/>
        <n v="3222.7"/>
        <n v="1342.28"/>
        <n v="2875.1"/>
        <n v="2746.31"/>
        <n v="4004.73"/>
        <n v="3352.47"/>
        <n v="6356.57"/>
        <n v="2147.31"/>
        <n v="3029.22"/>
        <n v="14942.69"/>
        <n v="10483.02"/>
        <n v="10253.450000000001"/>
        <n v="43698.48"/>
        <n v="19148.91"/>
        <n v="1898.35"/>
        <n v="1731.16"/>
        <n v="3475.28"/>
        <n v="1880.01"/>
        <n v="3594.41"/>
        <n v="8726.1299999999992"/>
        <n v="13851.43"/>
        <n v="5057.58"/>
        <n v="6297.53"/>
        <n v="3311.08"/>
        <n v="2090.5100000000002"/>
        <n v="3965.94"/>
        <n v="19350.89"/>
        <n v="4232.12"/>
        <n v="18754.72"/>
        <n v="3849.11"/>
        <n v="15378.75"/>
        <n v="3258.69"/>
        <n v="1558.01"/>
        <n v="51775.96"/>
        <n v="8284.18"/>
        <n v="12135.99"/>
        <n v="4256.55"/>
        <n v="2245.67"/>
        <n v="50418.51"/>
        <n v="50513.55"/>
        <n v="11912.66"/>
        <n v="3816.03"/>
        <n v="2512.19"/>
        <n v="6962.64"/>
        <n v="6511.55"/>
        <n v="1808.74"/>
        <n v="48095.5"/>
        <n v="1556.32"/>
        <n v="4688.91"/>
        <n v="1574.53"/>
        <n v="2694.13"/>
        <n v="3090.75"/>
        <n v="1235.4000000000001"/>
        <n v="1268.94"/>
        <n v="3676.28"/>
        <n v="3099.62"/>
        <n v="4048.48"/>
        <n v="6601.66"/>
        <n v="3370.38"/>
        <n v="5559.45"/>
        <n v="10866.57"/>
        <n v="2719.24"/>
        <n v="10351.780000000001"/>
        <n v="45463.42"/>
        <n v="10705.89"/>
        <n v="7945.86"/>
        <n v="8458.9500000000007"/>
        <n v="8827.41"/>
        <n v="2245.5100000000002"/>
        <n v="2533.17"/>
        <n v="15153.09"/>
        <n v="11206.23"/>
        <n v="3360.9"/>
        <n v="5740.78"/>
        <n v="7014.3"/>
        <n v="15195.97"/>
        <n v="3326.14"/>
        <n v="45127.31"/>
        <n v="2048.2600000000002"/>
        <n v="2501.06"/>
        <n v="3267.59"/>
        <n v="6378.05"/>
        <n v="8771.81"/>
        <n v="1621.95"/>
        <n v="45528.51"/>
        <n v="3549.47"/>
        <n v="8742.3799999999992"/>
        <n v="4613.7"/>
        <n v="9371.67"/>
        <n v="3748"/>
        <n v="2851.18"/>
        <n v="5035.3599999999997"/>
        <n v="2880.9"/>
        <n v="3210.52"/>
        <n v="2010.8"/>
        <n v="48310.3"/>
        <n v="3323.68"/>
        <n v="6331.93"/>
        <n v="4215.7700000000004"/>
        <n v="2712.44"/>
        <n v="13574.14"/>
        <n v="7552.02"/>
        <n v="1491.16"/>
        <n v="10701.57"/>
        <n v="13616.44"/>
        <n v="13841.04"/>
        <n v="2805.16"/>
        <n v="15383"/>
        <n v="51055.22"/>
        <n v="11393.97"/>
        <n v="13294.69"/>
        <n v="1896.93"/>
        <n v="13683.91"/>
        <n v="12812.56"/>
        <n v="15535"/>
        <n v="15196.44"/>
        <n v="8078.1"/>
        <n v="14971.73"/>
        <n v="51590.89"/>
        <n v="12304.36"/>
        <n v="50401.85"/>
        <n v="10283.14"/>
        <n v="4695.4399999999996"/>
        <n v="5081.47"/>
        <n v="16785.099999999999"/>
        <n v="13697.19"/>
        <n v="2272.16"/>
        <n v="3207.42"/>
        <n v="3636.56"/>
        <n v="6565.87"/>
        <n v="4149.92"/>
        <n v="1990.13"/>
        <n v="2810.89"/>
        <n v="50433.95"/>
        <n v="42681.7"/>
        <n v="43893.57"/>
        <n v="3688.93"/>
        <n v="2647.86"/>
        <n v="14173.45"/>
        <n v="1409.52"/>
        <n v="1324.78"/>
        <n v="2977.45"/>
        <n v="10168.469999999999"/>
        <n v="2473.37"/>
        <n v="1413.19"/>
        <n v="1205.04"/>
        <n v="3861.68"/>
        <n v="5505.17"/>
        <n v="1414.85"/>
        <n v="9064.44"/>
        <n v="18799.86"/>
        <n v="2594.0500000000002"/>
        <n v="3364.51"/>
        <n v="4157.7"/>
        <n v="1142.99"/>
        <n v="1087.4100000000001"/>
        <n v="2216.9499999999998"/>
        <n v="42970.09"/>
        <n v="6830.09"/>
        <n v="3859.28"/>
        <n v="42978.37"/>
        <n v="5353.07"/>
        <n v="6493.29"/>
        <n v="7437.02"/>
        <n v="1869.87"/>
        <n v="12649.96"/>
        <n v="13766.33"/>
        <n v="2588.25"/>
        <n v="2825.88"/>
        <n v="6424.36"/>
        <n v="54377.99"/>
        <n v="10163.67"/>
        <n v="10357.700000000001"/>
        <n v="10038.89"/>
        <n v="1558.44"/>
        <n v="2823.69"/>
        <n v="10939.09"/>
        <n v="14282.23"/>
        <n v="2684.48"/>
        <n v="9235.44"/>
        <n v="6867.21"/>
        <n v="4023.2"/>
        <n v="6744.99"/>
        <n v="13655.16"/>
        <n v="10430.83"/>
        <n v="11642.83"/>
        <n v="43566.5"/>
        <n v="6484.82"/>
        <n v="50903.46"/>
        <n v="7297.76"/>
        <n v="2897.83"/>
        <n v="43665.84"/>
        <n v="2137.85"/>
        <n v="3847.72"/>
        <n v="15311.87"/>
        <n v="6845.72"/>
        <n v="11359.54"/>
        <n v="7087.51"/>
        <n v="3356.34"/>
        <n v="4286.26"/>
        <n v="49281.45"/>
        <n v="9037.89"/>
        <n v="1082.3800000000001"/>
        <n v="1897.12"/>
        <n v="10364.4"/>
        <n v="6286.37"/>
        <n v="9108.69"/>
        <n v="4422.6000000000004"/>
        <n v="4577.41"/>
        <n v="4385.8599999999997"/>
        <n v="1932.24"/>
        <n v="2051.38"/>
        <n v="5423.35"/>
        <n v="16261.25"/>
        <n v="1991.49"/>
        <n v="3874.83"/>
        <n v="4491.1899999999996"/>
        <n v="3574.45"/>
        <n v="2877.52"/>
        <n v="8687.1299999999992"/>
        <n v="4671.05"/>
        <n v="3532.57"/>
        <n v="8387.83"/>
        <n v="2037.22"/>
        <n v="4467.8599999999997"/>
        <n v="1997.06"/>
        <n v="3007.96"/>
        <n v="6096.64"/>
        <n v="2860.82"/>
        <n v="14076.54"/>
        <n v="1246.5999999999999"/>
        <n v="10090.93"/>
        <n v="3157.67"/>
        <n v="16123.87"/>
        <n v="9447.06"/>
        <n v="8254.65"/>
        <n v="2108.1"/>
        <n v="48801.59"/>
        <n v="1589.49"/>
        <n v="4268.83"/>
        <n v="9202.9699999999993"/>
        <n v="3378.62"/>
        <n v="2178.5300000000002"/>
        <n v="2642.49"/>
        <n v="1926.22"/>
        <n v="4309.58"/>
        <n v="8303.8799999999992"/>
        <n v="51892.22"/>
        <n v="6861.4"/>
        <n v="5635.84"/>
        <n v="3185.69"/>
        <n v="7130.56"/>
        <n v="2468.8200000000002"/>
        <n v="44151.65"/>
        <n v="4938.79"/>
        <n v="2841.39"/>
        <n v="1027.5999999999999"/>
        <n v="6138.72"/>
        <n v="4536.55"/>
        <n v="3544.26"/>
        <n v="6797.48"/>
        <n v="9535.69"/>
        <n v="53746.6"/>
        <n v="2064.29"/>
        <n v="2392.63"/>
        <n v="12705.68"/>
        <n v="8461.2900000000009"/>
        <n v="5388.21"/>
        <n v="12089.68"/>
        <n v="2403.11"/>
        <n v="12448.37"/>
        <n v="6090.11"/>
        <n v="8176.81"/>
        <n v="51512.41"/>
        <n v="1159.0999999999999"/>
        <n v="45530.18"/>
        <n v="1951.96"/>
        <n v="1814.8"/>
        <n v="3088.29"/>
        <n v="3014.57"/>
        <n v="5703.74"/>
        <n v="5150.9399999999996"/>
        <n v="2501.7600000000002"/>
        <n v="12389.65"/>
        <n v="1580.76"/>
        <n v="2501.96"/>
        <n v="2434.9299999999998"/>
        <n v="3879.56"/>
        <n v="1951.27"/>
        <n v="1986.85"/>
        <n v="7880.15"/>
        <n v="3243.64"/>
        <n v="7044.88"/>
        <n v="3383.36"/>
        <n v="16098.35"/>
        <n v="3484.95"/>
        <n v="7083.92"/>
        <n v="1895.09"/>
        <n v="6692.58"/>
        <n v="9712.15"/>
        <n v="3290.36"/>
        <n v="15646.93"/>
        <n v="8626.8700000000008"/>
        <n v="4087.12"/>
        <n v="2170.44"/>
        <n v="3191.39"/>
        <n v="12877.35"/>
        <n v="3877.32"/>
        <n v="12744.1"/>
        <n v="18762.990000000002"/>
        <n v="17106.62"/>
        <n v="3124.85"/>
        <n v="47775.66"/>
        <n v="7739.83"/>
        <n v="2380.14"/>
        <n v="2313.63"/>
        <n v="2060.4"/>
        <n v="2253.29"/>
        <n v="2937.93"/>
        <n v="4042.67"/>
        <n v="3943.53"/>
        <n v="6362.17"/>
        <n v="2996.33"/>
        <n v="4958.59"/>
        <n v="9294.57"/>
        <n v="2644.86"/>
        <n v="48659.32"/>
        <n v="2459.6"/>
        <n v="7875.74"/>
        <n v="2638.7"/>
        <n v="2067.52"/>
        <n v="16214.27"/>
        <n v="12846.76"/>
        <n v="3800.62"/>
        <n v="2393.79"/>
        <n v="2112.4899999999998"/>
        <n v="2626.58"/>
        <n v="7495.93"/>
        <n v="7787.44"/>
        <n v="1580.93"/>
        <n v="4311.28"/>
        <n v="10056.280000000001"/>
        <n v="3775.58"/>
        <n v="10065.19"/>
        <n v="3208.73"/>
        <n v="4924.75"/>
        <n v="1660.23"/>
        <n v="1564.08"/>
        <n v="2365.61"/>
        <n v="2214.5100000000002"/>
        <n v="2349.0300000000002"/>
        <n v="51277.19"/>
        <n v="4900.2"/>
        <n v="5038.32"/>
        <n v="14355.12"/>
        <n v="8506.0400000000009"/>
        <n v="13675.7"/>
        <n v="10027.52"/>
        <n v="4310.9399999999996"/>
        <n v="14563.25"/>
        <n v="1948.43"/>
        <n v="1444.88"/>
        <n v="3058.12"/>
        <n v="15208.28"/>
        <n v="4931.2299999999996"/>
        <n v="3502.89"/>
        <n v="3632.49"/>
        <n v="7786.99"/>
        <n v="51664.26"/>
        <n v="6790.67"/>
        <n v="13810.22"/>
        <n v="49076.32"/>
        <n v="7242.29"/>
        <n v="11720.56"/>
        <n v="53115.55"/>
        <n v="45420.959999999999"/>
        <n v="53736.11"/>
        <n v="44082.94"/>
        <n v="3822.78"/>
        <n v="43228.12"/>
        <n v="11114.49"/>
        <n v="49803.25"/>
        <n v="50458.42"/>
        <n v="8358.7099999999991"/>
        <n v="2091.86"/>
        <n v="47878.13"/>
        <n v="4923.83"/>
        <n v="11154.8"/>
        <n v="2045.09"/>
        <n v="15948.41"/>
        <n v="12243.32"/>
        <n v="12057.86"/>
        <n v="2295.34"/>
        <n v="1742.51"/>
        <n v="3759.4"/>
        <n v="1048.29"/>
        <n v="1910.32"/>
        <n v="2328.7600000000002"/>
        <n v="4660.59"/>
        <n v="9070.5"/>
        <n v="3050.38"/>
        <n v="1950.7"/>
        <n v="12162.65"/>
        <n v="4404.04"/>
        <n v="12301.64"/>
        <n v="15032.66"/>
        <n v="51091.27"/>
        <n v="4762.47"/>
        <n v="1251.49"/>
        <n v="7118.55"/>
        <n v="7570.2"/>
        <n v="54590.93"/>
        <n v="53923.67"/>
        <n v="1488.92"/>
        <n v="1867.39"/>
        <n v="6035.52"/>
        <n v="5897.72"/>
        <n v="11208.22"/>
        <n v="5183.67"/>
        <n v="2847.79"/>
        <n v="2605.4"/>
        <n v="1422.32"/>
        <n v="4120.3100000000004"/>
        <n v="2944.2"/>
        <n v="13716.72"/>
        <n v="4968.66"/>
        <n v="2604.62"/>
        <n v="40835.18"/>
        <n v="3078.83"/>
        <n v="7105.58"/>
        <n v="12547.94"/>
        <n v="5380.02"/>
        <n v="2282.16"/>
        <n v="2514.9699999999998"/>
        <n v="2509.2800000000002"/>
        <n v="3204.95"/>
        <n v="1838.02"/>
        <n v="3259.65"/>
        <n v="8323.9500000000007"/>
        <n v="13492.87"/>
        <n v="1019.66"/>
        <n v="3312.5"/>
        <n v="44864.3"/>
        <n v="6774.81"/>
        <n v="2574.46"/>
        <n v="5375.1"/>
        <n v="8133.99"/>
        <n v="6415.27"/>
        <n v="12739.04"/>
        <n v="10534.31"/>
        <n v="1924.61"/>
        <n v="15234.99"/>
        <n v="4331.08"/>
        <n v="14308.75"/>
        <n v="2434.79"/>
        <n v="2411.44"/>
        <n v="2053.98"/>
        <n v="5293.77"/>
        <n v="9533.0499999999993"/>
        <n v="6417.44"/>
        <n v="1947.08"/>
        <n v="11895.2"/>
        <n v="2955.02"/>
        <n v="2983.65"/>
        <n v="2580"/>
        <n v="3099.87"/>
        <n v="11522.4"/>
        <n v="1260.71"/>
        <n v="5123.99"/>
        <n v="2042.49"/>
        <n v="8976.82"/>
        <n v="11792.67"/>
        <n v="2131.14"/>
        <n v="52285.45"/>
        <n v="7092.9"/>
        <n v="3435.94"/>
        <n v="54864.33"/>
        <n v="5009.78"/>
        <n v="1880.42"/>
        <n v="2894.8"/>
        <n v="4139.93"/>
        <n v="12271.86"/>
        <n v="14743.84"/>
        <n v="2521.8000000000002"/>
        <n v="4857.6499999999996"/>
        <n v="4611.8900000000003"/>
        <n v="13571.92"/>
        <n v="9485.02"/>
        <n v="9439.9699999999993"/>
        <n v="5041.8999999999996"/>
        <n v="51256.15"/>
        <n v="9460.85"/>
        <n v="45950.23"/>
        <n v="3806.85"/>
        <n v="4238.18"/>
        <n v="4116.97"/>
        <n v="2924.58"/>
        <n v="7298"/>
        <n v="4151.3999999999996"/>
        <n v="41346.089999999997"/>
        <n v="4740.7"/>
        <n v="12592.86"/>
        <n v="6265.14"/>
        <n v="45399.88"/>
        <n v="9156.2999999999993"/>
        <n v="7481.11"/>
        <n v="1763.97"/>
        <n v="1913.45"/>
        <n v="8037.85"/>
        <n v="4997.68"/>
        <n v="3004.43"/>
        <n v="10484.41"/>
        <n v="2110.89"/>
        <n v="12912.57"/>
        <n v="1906.16"/>
        <n v="3595.26"/>
        <n v="4743.84"/>
        <n v="11220.99"/>
        <n v="2741.42"/>
        <n v="5525.02"/>
        <n v="1300.82"/>
        <n v="1992.83"/>
        <n v="9602.86"/>
        <n v="9564.32"/>
        <n v="12754.56"/>
        <n v="8702.1200000000008"/>
        <n v="1885.89"/>
        <n v="14258.34"/>
        <n v="15593.25"/>
        <n v="1159.8399999999999"/>
        <n v="2311.13"/>
        <n v="5894.97"/>
        <n v="3060.81"/>
        <n v="4187.07"/>
        <n v="3529.62"/>
        <n v="6072.4"/>
        <n v="1608.35"/>
        <n v="2404.9499999999998"/>
        <n v="3516.52"/>
        <n v="4527.3"/>
        <n v="2489.0100000000002"/>
        <n v="2146.14"/>
        <n v="11130.77"/>
        <n v="17899.71"/>
        <n v="2878.43"/>
        <n v="6597.07"/>
        <n v="5349.7"/>
        <n v="44917.74"/>
        <n v="5450.5"/>
        <n v="51362.25"/>
        <n v="8558.89"/>
        <n v="4140.45"/>
        <n v="45085.08"/>
        <n v="7928.99"/>
        <n v="2606.77"/>
        <n v="8093.91"/>
        <n v="7979.78"/>
        <n v="1594.95"/>
        <n v="11066.86"/>
        <n v="40870.050000000003"/>
        <n v="3658.83"/>
        <n v="8681.19"/>
        <n v="10721.27"/>
        <n v="13978.21"/>
        <n v="15570.73"/>
        <n v="4273.1899999999996"/>
        <n v="2360.15"/>
        <n v="6359.58"/>
        <n v="6982.72"/>
        <n v="41933.68"/>
        <n v="5221.8599999999997"/>
        <n v="1504.55"/>
        <n v="4881.45"/>
        <n v="4684.43"/>
        <n v="50744.23"/>
        <n v="4077.71"/>
        <n v="8105.77"/>
        <n v="1912.07"/>
        <n v="5985.95"/>
        <n v="9502.4599999999991"/>
        <n v="1132.02"/>
        <n v="7521.87"/>
        <n v="52017.78"/>
        <n v="15077.13"/>
      </sharedItems>
    </cacheField>
    <cacheField name="Budgeted Amount" numFmtId="165">
      <sharedItems containsSemiMixedTypes="0" containsString="0" containsNumber="1" containsInteger="1" minValue="0" maxValue="15000"/>
    </cacheField>
    <cacheField name="Account" numFmtId="0">
      <sharedItems/>
    </cacheField>
    <cacheField name="Recurring" numFmtId="0">
      <sharedItems count="2">
        <s v="Yes"/>
        <s v="No"/>
      </sharedItems>
    </cacheField>
    <cacheField name="Budget Variance" numFmtId="166">
      <sharedItems containsMixedTypes="1" containsNumber="1" minValue="-7487.75" maxValue="4470.119999999999"/>
    </cacheField>
    <cacheField name="Signed Amount" numFmtId="166">
      <sharedItems containsSemiMixedTypes="0" containsString="0" containsNumber="1" minValue="-19470.12" maxValue="54993.62"/>
    </cacheField>
    <cacheField name="Over Budget Flag" numFmtId="0">
      <sharedItems/>
    </cacheField>
    <cacheField name="Months (Date)" numFmtId="0" databaseField="0">
      <fieldGroup base="1">
        <rangePr groupBy="months" startDate="2024-01-02T00:00:00" endDate="2025-06-28T00:00:00"/>
        <groupItems count="14">
          <s v="&lt;0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6-2025"/>
        </groupItems>
      </fieldGroup>
    </cacheField>
    <cacheField name="Years (Date)" numFmtId="0" databaseField="0">
      <fieldGroup base="1">
        <rangePr groupBy="years" startDate="2024-01-02T00:00:00" endDate="2025-06-28T00:00:00"/>
        <groupItems count="4">
          <s v="&lt;02-01-2024"/>
          <s v="2024"/>
          <s v="2025"/>
          <s v="&gt;28-06-2025"/>
        </groupItems>
      </fieldGroup>
    </cacheField>
  </cacheFields>
  <extLst>
    <ext xmlns:x14="http://schemas.microsoft.com/office/spreadsheetml/2009/9/main" uri="{725AE2AE-9491-48be-B2B4-4EB974FC3084}">
      <x14:pivotCacheDefinition pivotCacheId="9677507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XN-20988"/>
    <x v="0"/>
    <s v="Jan-2024"/>
    <x v="0"/>
    <x v="0"/>
    <x v="0"/>
    <s v="Personal Loan EMI payment"/>
    <s v="Credit Card"/>
    <x v="0"/>
    <n v="12000"/>
    <s v="SBI Salary A/c"/>
    <x v="0"/>
    <n v="2721.5"/>
    <n v="-14721.5"/>
    <s v="Yes"/>
  </r>
  <r>
    <s v="TXN-20310"/>
    <x v="1"/>
    <s v="Jan-2024"/>
    <x v="0"/>
    <x v="1"/>
    <x v="1"/>
    <s v="Movies payment"/>
    <s v="Net Banking"/>
    <x v="1"/>
    <n v="2500"/>
    <s v="Cash Wallet"/>
    <x v="1"/>
    <n v="492.03999999999996"/>
    <n v="-2992.04"/>
    <s v="Yes"/>
  </r>
  <r>
    <s v="TXN-20978"/>
    <x v="1"/>
    <s v="Jan-2024"/>
    <x v="0"/>
    <x v="2"/>
    <x v="2"/>
    <s v="Internet Bill payment"/>
    <s v="Cash"/>
    <x v="2"/>
    <n v="3000"/>
    <s v="Cash Wallet"/>
    <x v="0"/>
    <n v="-1347.97"/>
    <n v="-1652.03"/>
    <s v="No"/>
  </r>
  <r>
    <s v="TXN-20461"/>
    <x v="1"/>
    <s v="Jan-2024"/>
    <x v="0"/>
    <x v="3"/>
    <x v="3"/>
    <s v="Electronics payment"/>
    <s v="UPI"/>
    <x v="3"/>
    <n v="4000"/>
    <s v="ICICI Credit Card"/>
    <x v="1"/>
    <n v="-41.050000000000182"/>
    <n v="-3958.95"/>
    <s v="No"/>
  </r>
  <r>
    <s v="TXN-20545"/>
    <x v="2"/>
    <s v="Jan-2024"/>
    <x v="0"/>
    <x v="4"/>
    <x v="4"/>
    <s v="Supermarket payment"/>
    <s v="Credit Card"/>
    <x v="4"/>
    <n v="6000"/>
    <s v="ICICI Credit Card"/>
    <x v="1"/>
    <n v="1132.33"/>
    <n v="-7132.33"/>
    <s v="Yes"/>
  </r>
  <r>
    <s v="TXN-20592"/>
    <x v="2"/>
    <s v="Jan-2024"/>
    <x v="0"/>
    <x v="5"/>
    <x v="5"/>
    <s v="House Rent payment"/>
    <s v="Cash"/>
    <x v="5"/>
    <n v="15000"/>
    <s v="HDFC Savings"/>
    <x v="0"/>
    <n v="-1065.9400000000005"/>
    <n v="-13934.06"/>
    <s v="No"/>
  </r>
  <r>
    <s v="TXN-20744"/>
    <x v="2"/>
    <s v="Jan-2024"/>
    <x v="0"/>
    <x v="6"/>
    <x v="6"/>
    <s v="Cab/Taxi payment"/>
    <s v="Debit Card"/>
    <x v="6"/>
    <n v="3500"/>
    <s v="SBI Salary A/c"/>
    <x v="1"/>
    <n v="762.72999999999956"/>
    <n v="-4262.7299999999996"/>
    <s v="Yes"/>
  </r>
  <r>
    <s v="TXN-20184"/>
    <x v="3"/>
    <s v="Jan-2024"/>
    <x v="1"/>
    <x v="7"/>
    <x v="7"/>
    <s v="Monthly Salary received"/>
    <s v="UPI"/>
    <x v="7"/>
    <n v="0"/>
    <s v="ICICI Credit Card"/>
    <x v="0"/>
    <s v="0"/>
    <n v="51320.36"/>
    <s v="Yes"/>
  </r>
  <r>
    <s v="TXN-20096"/>
    <x v="4"/>
    <s v="Jan-2024"/>
    <x v="0"/>
    <x v="3"/>
    <x v="3"/>
    <s v="Electronics payment"/>
    <s v="Debit Card"/>
    <x v="8"/>
    <n v="4000"/>
    <s v="SBI Salary A/c"/>
    <x v="0"/>
    <n v="-1844.4899999999998"/>
    <n v="-2155.5100000000002"/>
    <s v="No"/>
  </r>
  <r>
    <s v="TXN-20878"/>
    <x v="5"/>
    <s v="Jan-2024"/>
    <x v="0"/>
    <x v="0"/>
    <x v="8"/>
    <s v="Home Loan EMI payment"/>
    <s v="UPI"/>
    <x v="9"/>
    <n v="12000"/>
    <s v="HDFC Savings"/>
    <x v="0"/>
    <n v="191.70999999999913"/>
    <n v="-12191.71"/>
    <s v="Yes"/>
  </r>
  <r>
    <s v="TXN-20755"/>
    <x v="6"/>
    <s v="Jan-2024"/>
    <x v="1"/>
    <x v="7"/>
    <x v="7"/>
    <s v="Monthly Salary received"/>
    <s v="UPI"/>
    <x v="10"/>
    <n v="0"/>
    <s v="ICICI Credit Card"/>
    <x v="0"/>
    <s v="0"/>
    <n v="51405.21"/>
    <s v="Yes"/>
  </r>
  <r>
    <s v="TXN-20315"/>
    <x v="6"/>
    <s v="Jan-2024"/>
    <x v="1"/>
    <x v="7"/>
    <x v="7"/>
    <s v="Monthly Salary received"/>
    <s v="Net Banking"/>
    <x v="11"/>
    <n v="0"/>
    <s v="Cash Wallet"/>
    <x v="0"/>
    <s v="0"/>
    <n v="43740.05"/>
    <s v="Yes"/>
  </r>
  <r>
    <s v="TXN-20938"/>
    <x v="6"/>
    <s v="Jan-2024"/>
    <x v="0"/>
    <x v="5"/>
    <x v="5"/>
    <s v="House Rent payment"/>
    <s v="UPI"/>
    <x v="12"/>
    <n v="15000"/>
    <s v="HDFC Savings"/>
    <x v="0"/>
    <n v="3669.2799999999988"/>
    <n v="-18669.28"/>
    <s v="Yes"/>
  </r>
  <r>
    <s v="TXN-20901"/>
    <x v="6"/>
    <s v="Jan-2024"/>
    <x v="0"/>
    <x v="1"/>
    <x v="9"/>
    <s v="Streaming Subscription payment"/>
    <s v="Credit Card"/>
    <x v="13"/>
    <n v="2500"/>
    <s v="SBI Salary A/c"/>
    <x v="1"/>
    <n v="-655.27"/>
    <n v="-1844.73"/>
    <s v="No"/>
  </r>
  <r>
    <s v="TXN-20943"/>
    <x v="6"/>
    <s v="Jan-2024"/>
    <x v="0"/>
    <x v="0"/>
    <x v="0"/>
    <s v="Personal Loan EMI payment"/>
    <s v="UPI"/>
    <x v="14"/>
    <n v="12000"/>
    <s v="SBI Salary A/c"/>
    <x v="0"/>
    <n v="382.1200000000008"/>
    <n v="-12382.12"/>
    <s v="Yes"/>
  </r>
  <r>
    <s v="TXN-20842"/>
    <x v="6"/>
    <s v="Jan-2024"/>
    <x v="1"/>
    <x v="7"/>
    <x v="7"/>
    <s v="Monthly Salary received"/>
    <s v="UPI"/>
    <x v="15"/>
    <n v="0"/>
    <s v="Cash Wallet"/>
    <x v="0"/>
    <s v="0"/>
    <n v="53176.54"/>
    <s v="Yes"/>
  </r>
  <r>
    <s v="TXN-20453"/>
    <x v="7"/>
    <s v="Jan-2024"/>
    <x v="0"/>
    <x v="4"/>
    <x v="4"/>
    <s v="Supermarket payment"/>
    <s v="Credit Card"/>
    <x v="16"/>
    <n v="6000"/>
    <s v="ICICI Credit Card"/>
    <x v="1"/>
    <n v="42.029999999999745"/>
    <n v="-6042.03"/>
    <s v="Yes"/>
  </r>
  <r>
    <s v="TXN-20745"/>
    <x v="7"/>
    <s v="Jan-2024"/>
    <x v="0"/>
    <x v="8"/>
    <x v="10"/>
    <s v="Books payment"/>
    <s v="Credit Card"/>
    <x v="17"/>
    <n v="2000"/>
    <s v="Cash Wallet"/>
    <x v="1"/>
    <n v="-927.93000000000006"/>
    <n v="-1072.07"/>
    <s v="No"/>
  </r>
  <r>
    <s v="TXN-20891"/>
    <x v="7"/>
    <s v="Jan-2024"/>
    <x v="0"/>
    <x v="0"/>
    <x v="0"/>
    <s v="Personal Loan EMI payment"/>
    <s v="UPI"/>
    <x v="18"/>
    <n v="12000"/>
    <s v="Cash Wallet"/>
    <x v="0"/>
    <n v="1053.3099999999995"/>
    <n v="-13053.31"/>
    <s v="Yes"/>
  </r>
  <r>
    <s v="TXN-20200"/>
    <x v="8"/>
    <s v="Jan-2024"/>
    <x v="0"/>
    <x v="6"/>
    <x v="11"/>
    <s v="Public Transport payment"/>
    <s v="UPI"/>
    <x v="19"/>
    <n v="3500"/>
    <s v="HDFC Savings"/>
    <x v="1"/>
    <n v="-193.36999999999989"/>
    <n v="-3306.63"/>
    <s v="No"/>
  </r>
  <r>
    <s v="TXN-20512"/>
    <x v="8"/>
    <s v="Jan-2024"/>
    <x v="0"/>
    <x v="2"/>
    <x v="12"/>
    <s v="Mobile Recharge payment"/>
    <s v="Credit Card"/>
    <x v="20"/>
    <n v="3000"/>
    <s v="HDFC Savings"/>
    <x v="0"/>
    <n v="-69.699999999999818"/>
    <n v="-2930.3"/>
    <s v="No"/>
  </r>
  <r>
    <s v="TXN-20422"/>
    <x v="9"/>
    <s v="Jan-2024"/>
    <x v="0"/>
    <x v="0"/>
    <x v="13"/>
    <s v="Car Loan EMI payment"/>
    <s v="Net Banking"/>
    <x v="21"/>
    <n v="12000"/>
    <s v="SBI Salary A/c"/>
    <x v="0"/>
    <n v="-1324.3899999999994"/>
    <n v="-10675.61"/>
    <s v="No"/>
  </r>
  <r>
    <s v="TXN-20462"/>
    <x v="9"/>
    <s v="Jan-2024"/>
    <x v="0"/>
    <x v="6"/>
    <x v="6"/>
    <s v="Cab/Taxi payment"/>
    <s v="Cash"/>
    <x v="22"/>
    <n v="3500"/>
    <s v="ICICI Credit Card"/>
    <x v="1"/>
    <n v="373.42999999999984"/>
    <n v="-3873.43"/>
    <s v="Yes"/>
  </r>
  <r>
    <s v="TXN-20014"/>
    <x v="9"/>
    <s v="Jan-2024"/>
    <x v="1"/>
    <x v="9"/>
    <x v="14"/>
    <s v="Project Payment received"/>
    <s v="Cash"/>
    <x v="23"/>
    <n v="0"/>
    <s v="Cash Wallet"/>
    <x v="1"/>
    <s v="0"/>
    <n v="11099.03"/>
    <s v="Yes"/>
  </r>
  <r>
    <s v="TXN-20863"/>
    <x v="10"/>
    <s v="Jan-2024"/>
    <x v="0"/>
    <x v="1"/>
    <x v="1"/>
    <s v="Movies payment"/>
    <s v="UPI"/>
    <x v="24"/>
    <n v="2500"/>
    <s v="HDFC Savings"/>
    <x v="1"/>
    <n v="-1188.95"/>
    <n v="-1311.05"/>
    <s v="No"/>
  </r>
  <r>
    <s v="TXN-20743"/>
    <x v="11"/>
    <s v="Jan-2024"/>
    <x v="0"/>
    <x v="6"/>
    <x v="11"/>
    <s v="Public Transport payment"/>
    <s v="UPI"/>
    <x v="25"/>
    <n v="3500"/>
    <s v="HDFC Savings"/>
    <x v="1"/>
    <n v="-1443.2399999999998"/>
    <n v="-2056.7600000000002"/>
    <s v="No"/>
  </r>
  <r>
    <s v="TXN-20251"/>
    <x v="11"/>
    <s v="Jan-2024"/>
    <x v="0"/>
    <x v="1"/>
    <x v="9"/>
    <s v="Streaming Subscription payment"/>
    <s v="UPI"/>
    <x v="26"/>
    <n v="2500"/>
    <s v="Cash Wallet"/>
    <x v="1"/>
    <n v="-1188.3599999999999"/>
    <n v="-1311.64"/>
    <s v="No"/>
  </r>
  <r>
    <s v="TXN-20227"/>
    <x v="11"/>
    <s v="Jan-2024"/>
    <x v="0"/>
    <x v="3"/>
    <x v="15"/>
    <s v="Clothing payment"/>
    <s v="Credit Card"/>
    <x v="27"/>
    <n v="4000"/>
    <s v="HDFC Savings"/>
    <x v="1"/>
    <n v="-106.84000000000015"/>
    <n v="-3893.16"/>
    <s v="No"/>
  </r>
  <r>
    <s v="TXN-20739"/>
    <x v="12"/>
    <s v="Jan-2024"/>
    <x v="0"/>
    <x v="4"/>
    <x v="16"/>
    <s v="Local Market payment"/>
    <s v="UPI"/>
    <x v="28"/>
    <n v="6000"/>
    <s v="SBI Salary A/c"/>
    <x v="1"/>
    <n v="-1293.5100000000002"/>
    <n v="-4706.49"/>
    <s v="No"/>
  </r>
  <r>
    <s v="TXN-20672"/>
    <x v="13"/>
    <s v="Jan-2024"/>
    <x v="0"/>
    <x v="6"/>
    <x v="11"/>
    <s v="Public Transport payment"/>
    <s v="UPI"/>
    <x v="29"/>
    <n v="3500"/>
    <s v="SBI Salary A/c"/>
    <x v="1"/>
    <n v="-892.44999999999982"/>
    <n v="-2607.5500000000002"/>
    <s v="No"/>
  </r>
  <r>
    <s v="TXN-20564"/>
    <x v="14"/>
    <s v="Jan-2024"/>
    <x v="0"/>
    <x v="1"/>
    <x v="9"/>
    <s v="Streaming Subscription payment"/>
    <s v="UPI"/>
    <x v="30"/>
    <n v="2500"/>
    <s v="SBI Salary A/c"/>
    <x v="1"/>
    <n v="-843.55"/>
    <n v="-1656.45"/>
    <s v="No"/>
  </r>
  <r>
    <s v="TXN-20212"/>
    <x v="15"/>
    <s v="Jan-2024"/>
    <x v="0"/>
    <x v="5"/>
    <x v="5"/>
    <s v="House Rent payment"/>
    <s v="UPI"/>
    <x v="31"/>
    <n v="15000"/>
    <s v="Cash Wallet"/>
    <x v="0"/>
    <n v="2801.7999999999993"/>
    <n v="-17801.8"/>
    <s v="Yes"/>
  </r>
  <r>
    <s v="TXN-20982"/>
    <x v="16"/>
    <s v="Jan-2024"/>
    <x v="0"/>
    <x v="0"/>
    <x v="8"/>
    <s v="Home Loan EMI payment"/>
    <s v="Credit Card"/>
    <x v="32"/>
    <n v="12000"/>
    <s v="SBI Salary A/c"/>
    <x v="0"/>
    <n v="-361.59000000000015"/>
    <n v="-11638.41"/>
    <s v="No"/>
  </r>
  <r>
    <s v="TXN-20259"/>
    <x v="17"/>
    <s v="Jan-2024"/>
    <x v="0"/>
    <x v="10"/>
    <x v="17"/>
    <s v="Pharmacy payment"/>
    <s v="Debit Card"/>
    <x v="33"/>
    <n v="2000"/>
    <s v="ICICI Credit Card"/>
    <x v="1"/>
    <n v="404.7800000000002"/>
    <n v="-2404.7800000000002"/>
    <s v="Yes"/>
  </r>
  <r>
    <s v="TXN-20586"/>
    <x v="18"/>
    <s v="Jan-2024"/>
    <x v="0"/>
    <x v="5"/>
    <x v="5"/>
    <s v="House Rent payment"/>
    <s v="Net Banking"/>
    <x v="34"/>
    <n v="15000"/>
    <s v="ICICI Credit Card"/>
    <x v="0"/>
    <n v="3478.34"/>
    <n v="-18478.34"/>
    <s v="Yes"/>
  </r>
  <r>
    <s v="TXN-20852"/>
    <x v="18"/>
    <s v="Jan-2024"/>
    <x v="0"/>
    <x v="2"/>
    <x v="18"/>
    <s v="Electricity Bill payment"/>
    <s v="Net Banking"/>
    <x v="35"/>
    <n v="3000"/>
    <s v="HDFC Savings"/>
    <x v="0"/>
    <n v="-177.11000000000013"/>
    <n v="-2822.89"/>
    <s v="No"/>
  </r>
  <r>
    <s v="TXN-20392"/>
    <x v="19"/>
    <s v="Jan-2024"/>
    <x v="0"/>
    <x v="11"/>
    <x v="19"/>
    <s v="Mutual Fund SIP payment"/>
    <s v="Credit Card"/>
    <x v="36"/>
    <n v="8000"/>
    <s v="Cash Wallet"/>
    <x v="0"/>
    <n v="-3407.3100000000004"/>
    <n v="-4592.6899999999996"/>
    <s v="No"/>
  </r>
  <r>
    <s v="TXN-20761"/>
    <x v="19"/>
    <s v="Jan-2024"/>
    <x v="0"/>
    <x v="3"/>
    <x v="15"/>
    <s v="Clothing payment"/>
    <s v="Credit Card"/>
    <x v="37"/>
    <n v="4000"/>
    <s v="SBI Salary A/c"/>
    <x v="0"/>
    <n v="-757.76000000000022"/>
    <n v="-3242.24"/>
    <s v="No"/>
  </r>
  <r>
    <s v="TXN-20715"/>
    <x v="20"/>
    <s v="Jan-2024"/>
    <x v="0"/>
    <x v="0"/>
    <x v="13"/>
    <s v="Car Loan EMI payment"/>
    <s v="Net Banking"/>
    <x v="38"/>
    <n v="12000"/>
    <s v="ICICI Credit Card"/>
    <x v="0"/>
    <n v="7.5799999999999272"/>
    <n v="-12007.58"/>
    <s v="Yes"/>
  </r>
  <r>
    <s v="TXN-20403"/>
    <x v="21"/>
    <s v="Jan-2024"/>
    <x v="0"/>
    <x v="3"/>
    <x v="3"/>
    <s v="Electronics payment"/>
    <s v="UPI"/>
    <x v="39"/>
    <n v="4000"/>
    <s v="ICICI Credit Card"/>
    <x v="1"/>
    <n v="-287.65999999999985"/>
    <n v="-3712.34"/>
    <s v="No"/>
  </r>
  <r>
    <s v="TXN-20040"/>
    <x v="21"/>
    <s v="Jan-2024"/>
    <x v="1"/>
    <x v="7"/>
    <x v="7"/>
    <s v="Monthly Salary received"/>
    <s v="Debit Card"/>
    <x v="40"/>
    <n v="0"/>
    <s v="HDFC Savings"/>
    <x v="0"/>
    <s v="0"/>
    <n v="49072.95"/>
    <s v="Yes"/>
  </r>
  <r>
    <s v="TXN-20729"/>
    <x v="21"/>
    <s v="Jan-2024"/>
    <x v="1"/>
    <x v="7"/>
    <x v="7"/>
    <s v="Monthly Salary received"/>
    <s v="UPI"/>
    <x v="41"/>
    <n v="0"/>
    <s v="Cash Wallet"/>
    <x v="0"/>
    <s v="0"/>
    <n v="44916.03"/>
    <s v="Yes"/>
  </r>
  <r>
    <s v="TXN-20454"/>
    <x v="21"/>
    <s v="Jan-2024"/>
    <x v="1"/>
    <x v="7"/>
    <x v="7"/>
    <s v="Monthly Salary received"/>
    <s v="Credit Card"/>
    <x v="42"/>
    <n v="0"/>
    <s v="SBI Salary A/c"/>
    <x v="0"/>
    <s v="0"/>
    <n v="52134.62"/>
    <s v="Yes"/>
  </r>
  <r>
    <s v="TXN-20777"/>
    <x v="22"/>
    <s v="Jan-2024"/>
    <x v="1"/>
    <x v="7"/>
    <x v="7"/>
    <s v="Monthly Salary received"/>
    <s v="Credit Card"/>
    <x v="43"/>
    <n v="0"/>
    <s v="ICICI Credit Card"/>
    <x v="0"/>
    <s v="0"/>
    <n v="54829.05"/>
    <s v="Yes"/>
  </r>
  <r>
    <s v="TXN-20107"/>
    <x v="22"/>
    <s v="Jan-2024"/>
    <x v="1"/>
    <x v="7"/>
    <x v="7"/>
    <s v="Monthly Salary received"/>
    <s v="Cash"/>
    <x v="44"/>
    <n v="0"/>
    <s v="ICICI Credit Card"/>
    <x v="0"/>
    <s v="0"/>
    <n v="41617.89"/>
    <s v="Yes"/>
  </r>
  <r>
    <s v="TXN-20411"/>
    <x v="23"/>
    <s v="Jan-2024"/>
    <x v="0"/>
    <x v="1"/>
    <x v="9"/>
    <s v="Streaming Subscription payment"/>
    <s v="Net Banking"/>
    <x v="45"/>
    <n v="2500"/>
    <s v="HDFC Savings"/>
    <x v="1"/>
    <n v="-383.38000000000011"/>
    <n v="-2116.62"/>
    <s v="No"/>
  </r>
  <r>
    <s v="TXN-20432"/>
    <x v="23"/>
    <s v="Jan-2024"/>
    <x v="0"/>
    <x v="5"/>
    <x v="5"/>
    <s v="House Rent payment"/>
    <s v="UPI"/>
    <x v="46"/>
    <n v="15000"/>
    <s v="ICICI Credit Card"/>
    <x v="0"/>
    <n v="3442.66"/>
    <n v="-18442.66"/>
    <s v="Yes"/>
  </r>
  <r>
    <s v="TXN-20776"/>
    <x v="23"/>
    <s v="Jan-2024"/>
    <x v="0"/>
    <x v="4"/>
    <x v="4"/>
    <s v="Supermarket payment"/>
    <s v="Credit Card"/>
    <x v="47"/>
    <n v="6000"/>
    <s v="ICICI Credit Card"/>
    <x v="1"/>
    <n v="80.770000000000437"/>
    <n v="-6080.77"/>
    <s v="Yes"/>
  </r>
  <r>
    <s v="TXN-20568"/>
    <x v="24"/>
    <s v="Feb-2024"/>
    <x v="1"/>
    <x v="7"/>
    <x v="7"/>
    <s v="Monthly Salary received"/>
    <s v="Net Banking"/>
    <x v="48"/>
    <n v="0"/>
    <s v="Cash Wallet"/>
    <x v="0"/>
    <s v="0"/>
    <n v="44276.73"/>
    <s v="Yes"/>
  </r>
  <r>
    <s v="TXN-20548"/>
    <x v="24"/>
    <s v="Feb-2024"/>
    <x v="0"/>
    <x v="5"/>
    <x v="5"/>
    <s v="House Rent payment"/>
    <s v="Cash"/>
    <x v="49"/>
    <n v="15000"/>
    <s v="SBI Salary A/c"/>
    <x v="0"/>
    <n v="431.86000000000058"/>
    <n v="-15431.86"/>
    <s v="Yes"/>
  </r>
  <r>
    <s v="TXN-20095"/>
    <x v="24"/>
    <s v="Feb-2024"/>
    <x v="1"/>
    <x v="7"/>
    <x v="7"/>
    <s v="Monthly Salary received"/>
    <s v="UPI"/>
    <x v="50"/>
    <n v="0"/>
    <s v="ICICI Credit Card"/>
    <x v="0"/>
    <s v="0"/>
    <n v="42308.93"/>
    <s v="Yes"/>
  </r>
  <r>
    <s v="TXN-20814"/>
    <x v="24"/>
    <s v="Feb-2024"/>
    <x v="1"/>
    <x v="7"/>
    <x v="7"/>
    <s v="Monthly Salary received"/>
    <s v="UPI"/>
    <x v="51"/>
    <n v="0"/>
    <s v="SBI Salary A/c"/>
    <x v="0"/>
    <s v="0"/>
    <n v="48666.12"/>
    <s v="Yes"/>
  </r>
  <r>
    <s v="TXN-20538"/>
    <x v="24"/>
    <s v="Feb-2024"/>
    <x v="0"/>
    <x v="8"/>
    <x v="20"/>
    <s v="Course Fee payment"/>
    <s v="Credit Card"/>
    <x v="52"/>
    <n v="2000"/>
    <s v="SBI Salary A/c"/>
    <x v="0"/>
    <n v="206.0300000000002"/>
    <n v="-2206.0300000000002"/>
    <s v="Yes"/>
  </r>
  <r>
    <s v="TXN-20721"/>
    <x v="24"/>
    <s v="Feb-2024"/>
    <x v="0"/>
    <x v="11"/>
    <x v="21"/>
    <s v="Fixed Deposit payment"/>
    <s v="UPI"/>
    <x v="53"/>
    <n v="8000"/>
    <s v="HDFC Savings"/>
    <x v="0"/>
    <n v="1083.2399999999998"/>
    <n v="-9083.24"/>
    <s v="Yes"/>
  </r>
  <r>
    <s v="TXN-20269"/>
    <x v="25"/>
    <s v="Feb-2024"/>
    <x v="0"/>
    <x v="0"/>
    <x v="0"/>
    <s v="Personal Loan EMI payment"/>
    <s v="Cash"/>
    <x v="54"/>
    <n v="12000"/>
    <s v="Cash Wallet"/>
    <x v="0"/>
    <n v="-1668.0599999999995"/>
    <n v="-10331.94"/>
    <s v="No"/>
  </r>
  <r>
    <s v="TXN-20066"/>
    <x v="25"/>
    <s v="Feb-2024"/>
    <x v="0"/>
    <x v="0"/>
    <x v="13"/>
    <s v="Car Loan EMI payment"/>
    <s v="UPI"/>
    <x v="55"/>
    <n v="12000"/>
    <s v="ICICI Credit Card"/>
    <x v="0"/>
    <n v="-2886.0300000000007"/>
    <n v="-9113.9699999999993"/>
    <s v="No"/>
  </r>
  <r>
    <s v="TXN-20683"/>
    <x v="26"/>
    <s v="Feb-2024"/>
    <x v="1"/>
    <x v="7"/>
    <x v="7"/>
    <s v="Monthly Salary received"/>
    <s v="UPI"/>
    <x v="56"/>
    <n v="0"/>
    <s v="Cash Wallet"/>
    <x v="0"/>
    <s v="0"/>
    <n v="46096.76"/>
    <s v="Yes"/>
  </r>
  <r>
    <s v="TXN-20326"/>
    <x v="26"/>
    <s v="Feb-2024"/>
    <x v="1"/>
    <x v="7"/>
    <x v="7"/>
    <s v="Monthly Salary received"/>
    <s v="Credit Card"/>
    <x v="57"/>
    <n v="0"/>
    <s v="ICICI Credit Card"/>
    <x v="0"/>
    <s v="0"/>
    <n v="42013.42"/>
    <s v="Yes"/>
  </r>
  <r>
    <s v="TXN-20008"/>
    <x v="26"/>
    <s v="Feb-2024"/>
    <x v="0"/>
    <x v="8"/>
    <x v="10"/>
    <s v="Books payment"/>
    <s v="Debit Card"/>
    <x v="58"/>
    <n v="2000"/>
    <s v="ICICI Credit Card"/>
    <x v="1"/>
    <n v="-711.28"/>
    <n v="-1288.72"/>
    <s v="No"/>
  </r>
  <r>
    <s v="TXN-20605"/>
    <x v="27"/>
    <s v="Feb-2024"/>
    <x v="0"/>
    <x v="10"/>
    <x v="17"/>
    <s v="Pharmacy payment"/>
    <s v="UPI"/>
    <x v="59"/>
    <n v="2000"/>
    <s v="HDFC Savings"/>
    <x v="1"/>
    <n v="83.75"/>
    <n v="-2083.75"/>
    <s v="Yes"/>
  </r>
  <r>
    <s v="TXN-20103"/>
    <x v="28"/>
    <s v="Feb-2024"/>
    <x v="0"/>
    <x v="0"/>
    <x v="0"/>
    <s v="Personal Loan EMI payment"/>
    <s v="Cash"/>
    <x v="60"/>
    <n v="12000"/>
    <s v="ICICI Credit Card"/>
    <x v="0"/>
    <n v="-2157.6399999999994"/>
    <n v="-9842.36"/>
    <s v="No"/>
  </r>
  <r>
    <s v="TXN-20752"/>
    <x v="28"/>
    <s v="Feb-2024"/>
    <x v="0"/>
    <x v="8"/>
    <x v="20"/>
    <s v="Course Fee payment"/>
    <s v="Debit Card"/>
    <x v="61"/>
    <n v="2000"/>
    <s v="HDFC Savings"/>
    <x v="1"/>
    <n v="-203.26"/>
    <n v="-1796.74"/>
    <s v="No"/>
  </r>
  <r>
    <s v="TXN-20714"/>
    <x v="29"/>
    <s v="Feb-2024"/>
    <x v="0"/>
    <x v="11"/>
    <x v="21"/>
    <s v="Fixed Deposit payment"/>
    <s v="Debit Card"/>
    <x v="62"/>
    <n v="8000"/>
    <s v="ICICI Credit Card"/>
    <x v="0"/>
    <n v="-269.36999999999989"/>
    <n v="-7730.63"/>
    <s v="No"/>
  </r>
  <r>
    <s v="TXN-20109"/>
    <x v="30"/>
    <s v="Feb-2024"/>
    <x v="0"/>
    <x v="5"/>
    <x v="5"/>
    <s v="House Rent payment"/>
    <s v="Debit Card"/>
    <x v="63"/>
    <n v="15000"/>
    <s v="Cash Wallet"/>
    <x v="0"/>
    <n v="-1110.2999999999993"/>
    <n v="-13889.7"/>
    <s v="No"/>
  </r>
  <r>
    <s v="TXN-20757"/>
    <x v="31"/>
    <s v="Feb-2024"/>
    <x v="0"/>
    <x v="2"/>
    <x v="18"/>
    <s v="Electricity Bill payment"/>
    <s v="Credit Card"/>
    <x v="64"/>
    <n v="3000"/>
    <s v="Cash Wallet"/>
    <x v="0"/>
    <n v="-947.59999999999991"/>
    <n v="-2052.4"/>
    <s v="No"/>
  </r>
  <r>
    <s v="TXN-20965"/>
    <x v="31"/>
    <s v="Feb-2024"/>
    <x v="0"/>
    <x v="0"/>
    <x v="13"/>
    <s v="Car Loan EMI payment"/>
    <s v="UPI"/>
    <x v="65"/>
    <n v="12000"/>
    <s v="Cash Wallet"/>
    <x v="0"/>
    <n v="-2946.74"/>
    <n v="-9053.26"/>
    <s v="No"/>
  </r>
  <r>
    <s v="TXN-20984"/>
    <x v="31"/>
    <s v="Feb-2024"/>
    <x v="0"/>
    <x v="5"/>
    <x v="5"/>
    <s v="House Rent payment"/>
    <s v="Credit Card"/>
    <x v="66"/>
    <n v="15000"/>
    <s v="Cash Wallet"/>
    <x v="0"/>
    <n v="-4713.66"/>
    <n v="-10286.34"/>
    <s v="No"/>
  </r>
  <r>
    <s v="TXN-20560"/>
    <x v="31"/>
    <s v="Feb-2024"/>
    <x v="0"/>
    <x v="0"/>
    <x v="0"/>
    <s v="Personal Loan EMI payment"/>
    <s v="UPI"/>
    <x v="67"/>
    <n v="12000"/>
    <s v="ICICI Credit Card"/>
    <x v="0"/>
    <n v="3481.8799999999992"/>
    <n v="-15481.88"/>
    <s v="Yes"/>
  </r>
  <r>
    <s v="TXN-20234"/>
    <x v="32"/>
    <s v="Feb-2024"/>
    <x v="0"/>
    <x v="5"/>
    <x v="5"/>
    <s v="House Rent payment"/>
    <s v="Cash"/>
    <x v="68"/>
    <n v="15000"/>
    <s v="HDFC Savings"/>
    <x v="0"/>
    <n v="-2619.75"/>
    <n v="-12380.25"/>
    <s v="No"/>
  </r>
  <r>
    <s v="TXN-20383"/>
    <x v="32"/>
    <s v="Feb-2024"/>
    <x v="0"/>
    <x v="0"/>
    <x v="0"/>
    <s v="Personal Loan EMI payment"/>
    <s v="Debit Card"/>
    <x v="69"/>
    <n v="12000"/>
    <s v="Cash Wallet"/>
    <x v="0"/>
    <n v="-964.65999999999985"/>
    <n v="-11035.34"/>
    <s v="No"/>
  </r>
  <r>
    <s v="TXN-20517"/>
    <x v="32"/>
    <s v="Feb-2024"/>
    <x v="0"/>
    <x v="1"/>
    <x v="22"/>
    <s v="Outing payment"/>
    <s v="Credit Card"/>
    <x v="70"/>
    <n v="2500"/>
    <s v="ICICI Credit Card"/>
    <x v="1"/>
    <n v="-1004.0999999999999"/>
    <n v="-1495.9"/>
    <s v="No"/>
  </r>
  <r>
    <s v="TXN-20373"/>
    <x v="32"/>
    <s v="Feb-2024"/>
    <x v="0"/>
    <x v="3"/>
    <x v="23"/>
    <s v="Online Shopping payment"/>
    <s v="Debit Card"/>
    <x v="71"/>
    <n v="4000"/>
    <s v="SBI Salary A/c"/>
    <x v="1"/>
    <n v="-105.82000000000016"/>
    <n v="-3894.18"/>
    <s v="No"/>
  </r>
  <r>
    <s v="TXN-20660"/>
    <x v="33"/>
    <s v="Feb-2024"/>
    <x v="1"/>
    <x v="7"/>
    <x v="7"/>
    <s v="Monthly Salary received"/>
    <s v="Credit Card"/>
    <x v="72"/>
    <n v="0"/>
    <s v="ICICI Credit Card"/>
    <x v="0"/>
    <s v="0"/>
    <n v="50937.53"/>
    <s v="Yes"/>
  </r>
  <r>
    <s v="TXN-20354"/>
    <x v="34"/>
    <s v="Feb-2024"/>
    <x v="0"/>
    <x v="5"/>
    <x v="5"/>
    <s v="House Rent payment"/>
    <s v="Cash"/>
    <x v="73"/>
    <n v="15000"/>
    <s v="HDFC Savings"/>
    <x v="0"/>
    <n v="26.680000000000291"/>
    <n v="-15026.68"/>
    <s v="Yes"/>
  </r>
  <r>
    <s v="TXN-20926"/>
    <x v="34"/>
    <s v="Feb-2024"/>
    <x v="0"/>
    <x v="6"/>
    <x v="6"/>
    <s v="Cab/Taxi payment"/>
    <s v="Credit Card"/>
    <x v="74"/>
    <n v="3500"/>
    <s v="HDFC Savings"/>
    <x v="1"/>
    <n v="-856.98"/>
    <n v="-2643.02"/>
    <s v="No"/>
  </r>
  <r>
    <s v="TXN-20278"/>
    <x v="35"/>
    <s v="Feb-2024"/>
    <x v="0"/>
    <x v="10"/>
    <x v="24"/>
    <s v="Health Insurance payment"/>
    <s v="Net Banking"/>
    <x v="75"/>
    <n v="2000"/>
    <s v="Cash Wallet"/>
    <x v="1"/>
    <n v="518.82000000000016"/>
    <n v="-2518.8200000000002"/>
    <s v="Yes"/>
  </r>
  <r>
    <s v="TXN-20358"/>
    <x v="35"/>
    <s v="Feb-2024"/>
    <x v="0"/>
    <x v="0"/>
    <x v="8"/>
    <s v="Home Loan EMI payment"/>
    <s v="UPI"/>
    <x v="76"/>
    <n v="12000"/>
    <s v="Cash Wallet"/>
    <x v="0"/>
    <n v="3256.8099999999995"/>
    <n v="-15256.81"/>
    <s v="Yes"/>
  </r>
  <r>
    <s v="TXN-20625"/>
    <x v="36"/>
    <s v="Feb-2024"/>
    <x v="0"/>
    <x v="3"/>
    <x v="23"/>
    <s v="Online Shopping payment"/>
    <s v="Debit Card"/>
    <x v="77"/>
    <n v="4000"/>
    <s v="HDFC Savings"/>
    <x v="1"/>
    <n v="-396.28999999999996"/>
    <n v="-3603.71"/>
    <s v="No"/>
  </r>
  <r>
    <s v="TXN-20350"/>
    <x v="36"/>
    <s v="Feb-2024"/>
    <x v="0"/>
    <x v="2"/>
    <x v="12"/>
    <s v="Mobile Recharge payment"/>
    <s v="Debit Card"/>
    <x v="78"/>
    <n v="3000"/>
    <s v="SBI Salary A/c"/>
    <x v="0"/>
    <n v="-237.69000000000005"/>
    <n v="-2762.31"/>
    <s v="No"/>
  </r>
  <r>
    <s v="TXN-20019"/>
    <x v="37"/>
    <s v="Feb-2024"/>
    <x v="0"/>
    <x v="10"/>
    <x v="17"/>
    <s v="Pharmacy payment"/>
    <s v="Debit Card"/>
    <x v="79"/>
    <n v="2000"/>
    <s v="Cash Wallet"/>
    <x v="0"/>
    <n v="-969.34999999999991"/>
    <n v="-1030.6500000000001"/>
    <s v="No"/>
  </r>
  <r>
    <s v="TXN-20217"/>
    <x v="37"/>
    <s v="Feb-2024"/>
    <x v="0"/>
    <x v="5"/>
    <x v="5"/>
    <s v="House Rent payment"/>
    <s v="Cash"/>
    <x v="80"/>
    <n v="15000"/>
    <s v="SBI Salary A/c"/>
    <x v="0"/>
    <n v="-3554.0200000000004"/>
    <n v="-11445.98"/>
    <s v="No"/>
  </r>
  <r>
    <s v="TXN-20706"/>
    <x v="37"/>
    <s v="Feb-2024"/>
    <x v="0"/>
    <x v="10"/>
    <x v="17"/>
    <s v="Pharmacy payment"/>
    <s v="UPI"/>
    <x v="81"/>
    <n v="2000"/>
    <s v="HDFC Savings"/>
    <x v="1"/>
    <n v="-706.98"/>
    <n v="-1293.02"/>
    <s v="No"/>
  </r>
  <r>
    <s v="TXN-20703"/>
    <x v="37"/>
    <s v="Feb-2024"/>
    <x v="0"/>
    <x v="11"/>
    <x v="21"/>
    <s v="Fixed Deposit payment"/>
    <s v="Debit Card"/>
    <x v="82"/>
    <n v="8000"/>
    <s v="HDFC Savings"/>
    <x v="0"/>
    <n v="-1508.6800000000003"/>
    <n v="-6491.32"/>
    <s v="No"/>
  </r>
  <r>
    <s v="TXN-20836"/>
    <x v="38"/>
    <s v="Feb-2024"/>
    <x v="0"/>
    <x v="4"/>
    <x v="16"/>
    <s v="Local Market payment"/>
    <s v="Debit Card"/>
    <x v="83"/>
    <n v="6000"/>
    <s v="SBI Salary A/c"/>
    <x v="1"/>
    <n v="-1118.4399999999996"/>
    <n v="-4881.5600000000004"/>
    <s v="No"/>
  </r>
  <r>
    <s v="TXN-20494"/>
    <x v="39"/>
    <s v="Feb-2024"/>
    <x v="0"/>
    <x v="5"/>
    <x v="5"/>
    <s v="House Rent payment"/>
    <s v="UPI"/>
    <x v="84"/>
    <n v="15000"/>
    <s v="ICICI Credit Card"/>
    <x v="0"/>
    <n v="-4779.07"/>
    <n v="-10220.93"/>
    <s v="No"/>
  </r>
  <r>
    <s v="TXN-20108"/>
    <x v="39"/>
    <s v="Feb-2024"/>
    <x v="0"/>
    <x v="6"/>
    <x v="6"/>
    <s v="Cab/Taxi payment"/>
    <s v="UPI"/>
    <x v="85"/>
    <n v="3500"/>
    <s v="ICICI Credit Card"/>
    <x v="1"/>
    <n v="-1365.1"/>
    <n v="-2134.9"/>
    <s v="No"/>
  </r>
  <r>
    <s v="TXN-20266"/>
    <x v="39"/>
    <s v="Feb-2024"/>
    <x v="1"/>
    <x v="9"/>
    <x v="25"/>
    <s v="Consulting Fee received"/>
    <s v="Debit Card"/>
    <x v="86"/>
    <n v="0"/>
    <s v="ICICI Credit Card"/>
    <x v="1"/>
    <s v="0"/>
    <n v="12035.33"/>
    <s v="Yes"/>
  </r>
  <r>
    <s v="TXN-20236"/>
    <x v="40"/>
    <s v="Feb-2024"/>
    <x v="0"/>
    <x v="2"/>
    <x v="12"/>
    <s v="Mobile Recharge payment"/>
    <s v="UPI"/>
    <x v="87"/>
    <n v="3000"/>
    <s v="Cash Wallet"/>
    <x v="0"/>
    <n v="536.90999999999985"/>
    <n v="-3536.91"/>
    <s v="Yes"/>
  </r>
  <r>
    <s v="TXN-20639"/>
    <x v="40"/>
    <s v="Feb-2024"/>
    <x v="0"/>
    <x v="6"/>
    <x v="26"/>
    <s v="Fuel payment"/>
    <s v="UPI"/>
    <x v="88"/>
    <n v="3500"/>
    <s v="Cash Wallet"/>
    <x v="1"/>
    <n v="723.77999999999975"/>
    <n v="-4223.78"/>
    <s v="Yes"/>
  </r>
  <r>
    <s v="TXN-20935"/>
    <x v="41"/>
    <s v="Feb-2024"/>
    <x v="0"/>
    <x v="10"/>
    <x v="24"/>
    <s v="Health Insurance payment"/>
    <s v="Credit Card"/>
    <x v="89"/>
    <n v="2000"/>
    <s v="ICICI Credit Card"/>
    <x v="1"/>
    <n v="43.970000000000027"/>
    <n v="-2043.97"/>
    <s v="Yes"/>
  </r>
  <r>
    <s v="TXN-20288"/>
    <x v="41"/>
    <s v="Feb-2024"/>
    <x v="0"/>
    <x v="10"/>
    <x v="27"/>
    <s v="Doctor Visit payment"/>
    <s v="Credit Card"/>
    <x v="90"/>
    <n v="2000"/>
    <s v="HDFC Savings"/>
    <x v="1"/>
    <n v="-451.70000000000005"/>
    <n v="-1548.3"/>
    <s v="No"/>
  </r>
  <r>
    <s v="TXN-20319"/>
    <x v="41"/>
    <s v="Feb-2024"/>
    <x v="0"/>
    <x v="0"/>
    <x v="13"/>
    <s v="Car Loan EMI payment"/>
    <s v="Credit Card"/>
    <x v="91"/>
    <n v="12000"/>
    <s v="Cash Wallet"/>
    <x v="0"/>
    <n v="-3291.59"/>
    <n v="-8708.41"/>
    <s v="No"/>
  </r>
  <r>
    <s v="TXN-20665"/>
    <x v="41"/>
    <s v="Feb-2024"/>
    <x v="1"/>
    <x v="7"/>
    <x v="7"/>
    <s v="Monthly Salary received"/>
    <s v="Debit Card"/>
    <x v="92"/>
    <n v="0"/>
    <s v="SBI Salary A/c"/>
    <x v="0"/>
    <s v="0"/>
    <n v="51539.45"/>
    <s v="Yes"/>
  </r>
  <r>
    <s v="TXN-20792"/>
    <x v="42"/>
    <s v="Feb-2024"/>
    <x v="0"/>
    <x v="0"/>
    <x v="0"/>
    <s v="Personal Loan EMI payment"/>
    <s v="Cash"/>
    <x v="93"/>
    <n v="12000"/>
    <s v="ICICI Credit Card"/>
    <x v="0"/>
    <n v="-4097.63"/>
    <n v="-7902.37"/>
    <s v="No"/>
  </r>
  <r>
    <s v="TXN-20902"/>
    <x v="42"/>
    <s v="Feb-2024"/>
    <x v="0"/>
    <x v="11"/>
    <x v="21"/>
    <s v="Fixed Deposit payment"/>
    <s v="Credit Card"/>
    <x v="94"/>
    <n v="8000"/>
    <s v="SBI Salary A/c"/>
    <x v="0"/>
    <n v="-3843.9799999999996"/>
    <n v="-4156.0200000000004"/>
    <s v="No"/>
  </r>
  <r>
    <s v="TXN-20290"/>
    <x v="42"/>
    <s v="Feb-2024"/>
    <x v="0"/>
    <x v="11"/>
    <x v="19"/>
    <s v="Mutual Fund SIP payment"/>
    <s v="Credit Card"/>
    <x v="95"/>
    <n v="8000"/>
    <s v="ICICI Credit Card"/>
    <x v="0"/>
    <n v="-3093.9300000000003"/>
    <n v="-4906.07"/>
    <s v="No"/>
  </r>
  <r>
    <s v="TXN-20479"/>
    <x v="42"/>
    <s v="Feb-2024"/>
    <x v="0"/>
    <x v="4"/>
    <x v="16"/>
    <s v="Local Market payment"/>
    <s v="Debit Card"/>
    <x v="96"/>
    <n v="6000"/>
    <s v="HDFC Savings"/>
    <x v="0"/>
    <n v="-1482.04"/>
    <n v="-4517.96"/>
    <s v="No"/>
  </r>
  <r>
    <s v="TXN-20130"/>
    <x v="43"/>
    <s v="Feb-2024"/>
    <x v="0"/>
    <x v="11"/>
    <x v="28"/>
    <s v="Stocks payment"/>
    <s v="Debit Card"/>
    <x v="97"/>
    <n v="8000"/>
    <s v="Cash Wallet"/>
    <x v="0"/>
    <n v="-277.10999999999967"/>
    <n v="-7722.89"/>
    <s v="No"/>
  </r>
  <r>
    <s v="TXN-20861"/>
    <x v="44"/>
    <s v="Feb-2024"/>
    <x v="0"/>
    <x v="5"/>
    <x v="5"/>
    <s v="House Rent payment"/>
    <s v="UPI"/>
    <x v="98"/>
    <n v="15000"/>
    <s v="ICICI Credit Card"/>
    <x v="0"/>
    <n v="2789.2299999999996"/>
    <n v="-17789.23"/>
    <s v="Yes"/>
  </r>
  <r>
    <s v="TXN-20783"/>
    <x v="44"/>
    <s v="Feb-2024"/>
    <x v="0"/>
    <x v="2"/>
    <x v="12"/>
    <s v="Mobile Recharge payment"/>
    <s v="Credit Card"/>
    <x v="99"/>
    <n v="3000"/>
    <s v="SBI Salary A/c"/>
    <x v="0"/>
    <n v="-1320.62"/>
    <n v="-1679.38"/>
    <s v="No"/>
  </r>
  <r>
    <s v="TXN-20529"/>
    <x v="45"/>
    <s v="Feb-2024"/>
    <x v="0"/>
    <x v="11"/>
    <x v="19"/>
    <s v="Mutual Fund SIP payment"/>
    <s v="UPI"/>
    <x v="100"/>
    <n v="8000"/>
    <s v="HDFC Savings"/>
    <x v="0"/>
    <n v="-3708.83"/>
    <n v="-4291.17"/>
    <s v="No"/>
  </r>
  <r>
    <s v="TXN-20953"/>
    <x v="46"/>
    <s v="Feb-2024"/>
    <x v="0"/>
    <x v="0"/>
    <x v="8"/>
    <s v="Home Loan EMI payment"/>
    <s v="Credit Card"/>
    <x v="101"/>
    <n v="12000"/>
    <s v="Cash Wallet"/>
    <x v="0"/>
    <n v="-1879.4500000000007"/>
    <n v="-10120.549999999999"/>
    <s v="No"/>
  </r>
  <r>
    <s v="TXN-20573"/>
    <x v="46"/>
    <s v="Feb-2024"/>
    <x v="0"/>
    <x v="4"/>
    <x v="16"/>
    <s v="Local Market payment"/>
    <s v="UPI"/>
    <x v="102"/>
    <n v="6000"/>
    <s v="HDFC Savings"/>
    <x v="1"/>
    <n v="-1167.2799999999997"/>
    <n v="-4832.72"/>
    <s v="No"/>
  </r>
  <r>
    <s v="TXN-20041"/>
    <x v="47"/>
    <s v="Feb-2024"/>
    <x v="0"/>
    <x v="6"/>
    <x v="11"/>
    <s v="Public Transport payment"/>
    <s v="UPI"/>
    <x v="103"/>
    <n v="3500"/>
    <s v="ICICI Credit Card"/>
    <x v="1"/>
    <n v="-615.25"/>
    <n v="-2884.75"/>
    <s v="No"/>
  </r>
  <r>
    <s v="TXN-20898"/>
    <x v="47"/>
    <s v="Feb-2024"/>
    <x v="1"/>
    <x v="7"/>
    <x v="7"/>
    <s v="Monthly Salary received"/>
    <s v="Net Banking"/>
    <x v="104"/>
    <n v="0"/>
    <s v="HDFC Savings"/>
    <x v="0"/>
    <s v="0"/>
    <n v="41480.19"/>
    <s v="Yes"/>
  </r>
  <r>
    <s v="TXN-20585"/>
    <x v="48"/>
    <s v="Mar-2024"/>
    <x v="1"/>
    <x v="7"/>
    <x v="7"/>
    <s v="Monthly Salary received"/>
    <s v="Net Banking"/>
    <x v="105"/>
    <n v="0"/>
    <s v="Cash Wallet"/>
    <x v="0"/>
    <s v="0"/>
    <n v="45104.480000000003"/>
    <s v="Yes"/>
  </r>
  <r>
    <s v="TXN-20820"/>
    <x v="49"/>
    <s v="Mar-2024"/>
    <x v="0"/>
    <x v="0"/>
    <x v="13"/>
    <s v="Car Loan EMI payment"/>
    <s v="Credit Card"/>
    <x v="106"/>
    <n v="12000"/>
    <s v="HDFC Savings"/>
    <x v="0"/>
    <n v="3473.2700000000004"/>
    <n v="-15473.27"/>
    <s v="Yes"/>
  </r>
  <r>
    <s v="TXN-20414"/>
    <x v="50"/>
    <s v="Mar-2024"/>
    <x v="0"/>
    <x v="1"/>
    <x v="9"/>
    <s v="Streaming Subscription payment"/>
    <s v="UPI"/>
    <x v="107"/>
    <n v="2500"/>
    <s v="HDFC Savings"/>
    <x v="1"/>
    <n v="555.59999999999991"/>
    <n v="-3055.6"/>
    <s v="Yes"/>
  </r>
  <r>
    <s v="TXN-20244"/>
    <x v="51"/>
    <s v="Mar-2024"/>
    <x v="1"/>
    <x v="7"/>
    <x v="7"/>
    <s v="Monthly Salary received"/>
    <s v="Debit Card"/>
    <x v="108"/>
    <n v="0"/>
    <s v="Cash Wallet"/>
    <x v="0"/>
    <s v="0"/>
    <n v="52211.22"/>
    <s v="Yes"/>
  </r>
  <r>
    <s v="TXN-20194"/>
    <x v="51"/>
    <s v="Mar-2024"/>
    <x v="0"/>
    <x v="5"/>
    <x v="5"/>
    <s v="House Rent payment"/>
    <s v="Credit Card"/>
    <x v="109"/>
    <n v="15000"/>
    <s v="Cash Wallet"/>
    <x v="0"/>
    <n v="-5519.75"/>
    <n v="-9480.25"/>
    <s v="No"/>
  </r>
  <r>
    <s v="TXN-20246"/>
    <x v="51"/>
    <s v="Mar-2024"/>
    <x v="1"/>
    <x v="12"/>
    <x v="29"/>
    <s v="Interest Income received"/>
    <s v="Cash"/>
    <x v="110"/>
    <n v="0"/>
    <s v="HDFC Savings"/>
    <x v="1"/>
    <s v="0"/>
    <n v="3461.11"/>
    <s v="Yes"/>
  </r>
  <r>
    <s v="TXN-20250"/>
    <x v="52"/>
    <s v="Mar-2024"/>
    <x v="0"/>
    <x v="10"/>
    <x v="17"/>
    <s v="Pharmacy payment"/>
    <s v="Debit Card"/>
    <x v="111"/>
    <n v="2000"/>
    <s v="HDFC Savings"/>
    <x v="1"/>
    <n v="438.5300000000002"/>
    <n v="-2438.5300000000002"/>
    <s v="Yes"/>
  </r>
  <r>
    <s v="TXN-20235"/>
    <x v="52"/>
    <s v="Mar-2024"/>
    <x v="0"/>
    <x v="5"/>
    <x v="5"/>
    <s v="House Rent payment"/>
    <s v="UPI"/>
    <x v="112"/>
    <n v="15000"/>
    <s v="HDFC Savings"/>
    <x v="0"/>
    <n v="3760.1800000000003"/>
    <n v="-18760.18"/>
    <s v="Yes"/>
  </r>
  <r>
    <s v="TXN-20997"/>
    <x v="53"/>
    <s v="Mar-2024"/>
    <x v="0"/>
    <x v="8"/>
    <x v="20"/>
    <s v="Course Fee payment"/>
    <s v="Cash"/>
    <x v="113"/>
    <n v="2000"/>
    <s v="Cash Wallet"/>
    <x v="1"/>
    <n v="-115.32999999999993"/>
    <n v="-1884.67"/>
    <s v="No"/>
  </r>
  <r>
    <s v="TXN-20025"/>
    <x v="54"/>
    <s v="Mar-2024"/>
    <x v="0"/>
    <x v="5"/>
    <x v="5"/>
    <s v="House Rent payment"/>
    <s v="UPI"/>
    <x v="114"/>
    <n v="15000"/>
    <s v="HDFC Savings"/>
    <x v="0"/>
    <n v="-3419.1900000000005"/>
    <n v="-11580.81"/>
    <s v="No"/>
  </r>
  <r>
    <s v="TXN-20444"/>
    <x v="54"/>
    <s v="Mar-2024"/>
    <x v="1"/>
    <x v="9"/>
    <x v="14"/>
    <s v="Project Payment received"/>
    <s v="Credit Card"/>
    <x v="115"/>
    <n v="0"/>
    <s v="ICICI Credit Card"/>
    <x v="1"/>
    <s v="0"/>
    <n v="6868.68"/>
    <s v="Yes"/>
  </r>
  <r>
    <s v="TXN-20904"/>
    <x v="55"/>
    <s v="Mar-2024"/>
    <x v="0"/>
    <x v="0"/>
    <x v="13"/>
    <s v="Car Loan EMI payment"/>
    <s v="Credit Card"/>
    <x v="116"/>
    <n v="12000"/>
    <s v="HDFC Savings"/>
    <x v="0"/>
    <n v="2343.5100000000002"/>
    <n v="-14343.51"/>
    <s v="Yes"/>
  </r>
  <r>
    <s v="TXN-20208"/>
    <x v="55"/>
    <s v="Mar-2024"/>
    <x v="1"/>
    <x v="7"/>
    <x v="7"/>
    <s v="Monthly Salary received"/>
    <s v="Credit Card"/>
    <x v="117"/>
    <n v="0"/>
    <s v="SBI Salary A/c"/>
    <x v="0"/>
    <s v="0"/>
    <n v="54831.07"/>
    <s v="Yes"/>
  </r>
  <r>
    <s v="TXN-20222"/>
    <x v="55"/>
    <s v="Mar-2024"/>
    <x v="1"/>
    <x v="12"/>
    <x v="29"/>
    <s v="Interest Income received"/>
    <s v="Net Banking"/>
    <x v="118"/>
    <n v="0"/>
    <s v="ICICI Credit Card"/>
    <x v="1"/>
    <s v="0"/>
    <n v="3681.61"/>
    <s v="Yes"/>
  </r>
  <r>
    <s v="TXN-20940"/>
    <x v="55"/>
    <s v="Mar-2024"/>
    <x v="0"/>
    <x v="11"/>
    <x v="19"/>
    <s v="Mutual Fund SIP payment"/>
    <s v="Net Banking"/>
    <x v="119"/>
    <n v="8000"/>
    <s v="SBI Salary A/c"/>
    <x v="0"/>
    <n v="-2753.9399999999996"/>
    <n v="-5246.06"/>
    <s v="No"/>
  </r>
  <r>
    <s v="TXN-20883"/>
    <x v="56"/>
    <s v="Mar-2024"/>
    <x v="0"/>
    <x v="0"/>
    <x v="0"/>
    <s v="Personal Loan EMI payment"/>
    <s v="Credit Card"/>
    <x v="120"/>
    <n v="12000"/>
    <s v="HDFC Savings"/>
    <x v="0"/>
    <n v="763.71999999999935"/>
    <n v="-12763.72"/>
    <s v="Yes"/>
  </r>
  <r>
    <s v="TXN-20044"/>
    <x v="57"/>
    <s v="Mar-2024"/>
    <x v="1"/>
    <x v="7"/>
    <x v="7"/>
    <s v="Monthly Salary received"/>
    <s v="UPI"/>
    <x v="121"/>
    <n v="0"/>
    <s v="SBI Salary A/c"/>
    <x v="0"/>
    <s v="0"/>
    <n v="54226.42"/>
    <s v="Yes"/>
  </r>
  <r>
    <s v="TXN-20632"/>
    <x v="57"/>
    <s v="Mar-2024"/>
    <x v="0"/>
    <x v="0"/>
    <x v="8"/>
    <s v="Home Loan EMI payment"/>
    <s v="UPI"/>
    <x v="122"/>
    <n v="12000"/>
    <s v="Cash Wallet"/>
    <x v="0"/>
    <n v="-23.690000000000509"/>
    <n v="-11976.31"/>
    <s v="No"/>
  </r>
  <r>
    <s v="TXN-20702"/>
    <x v="57"/>
    <s v="Mar-2024"/>
    <x v="0"/>
    <x v="2"/>
    <x v="12"/>
    <s v="Mobile Recharge payment"/>
    <s v="Cash"/>
    <x v="123"/>
    <n v="3000"/>
    <s v="HDFC Savings"/>
    <x v="0"/>
    <n v="253.44000000000005"/>
    <n v="-3253.44"/>
    <s v="Yes"/>
  </r>
  <r>
    <s v="TXN-20968"/>
    <x v="57"/>
    <s v="Mar-2024"/>
    <x v="0"/>
    <x v="5"/>
    <x v="5"/>
    <s v="House Rent payment"/>
    <s v="Debit Card"/>
    <x v="124"/>
    <n v="15000"/>
    <s v="Cash Wallet"/>
    <x v="0"/>
    <n v="2968.9700000000012"/>
    <n v="-17968.97"/>
    <s v="Yes"/>
  </r>
  <r>
    <s v="TXN-20613"/>
    <x v="58"/>
    <s v="Mar-2024"/>
    <x v="0"/>
    <x v="11"/>
    <x v="21"/>
    <s v="Fixed Deposit payment"/>
    <s v="UPI"/>
    <x v="125"/>
    <n v="8000"/>
    <s v="HDFC Savings"/>
    <x v="0"/>
    <n v="-1362.1999999999998"/>
    <n v="-6637.8"/>
    <s v="No"/>
  </r>
  <r>
    <s v="TXN-20697"/>
    <x v="59"/>
    <s v="Mar-2024"/>
    <x v="0"/>
    <x v="11"/>
    <x v="28"/>
    <s v="Stocks payment"/>
    <s v="Net Banking"/>
    <x v="126"/>
    <n v="8000"/>
    <s v="ICICI Credit Card"/>
    <x v="0"/>
    <n v="-3007.34"/>
    <n v="-4992.66"/>
    <s v="No"/>
  </r>
  <r>
    <s v="TXN-20925"/>
    <x v="59"/>
    <s v="Mar-2024"/>
    <x v="0"/>
    <x v="0"/>
    <x v="8"/>
    <s v="Home Loan EMI payment"/>
    <s v="Credit Card"/>
    <x v="127"/>
    <n v="12000"/>
    <s v="Cash Wallet"/>
    <x v="0"/>
    <n v="1932.17"/>
    <n v="-13932.17"/>
    <s v="Yes"/>
  </r>
  <r>
    <s v="TXN-20522"/>
    <x v="59"/>
    <s v="Mar-2024"/>
    <x v="0"/>
    <x v="11"/>
    <x v="28"/>
    <s v="Stocks payment"/>
    <s v="UPI"/>
    <x v="128"/>
    <n v="8000"/>
    <s v="HDFC Savings"/>
    <x v="0"/>
    <n v="-2038.4700000000003"/>
    <n v="-5961.53"/>
    <s v="No"/>
  </r>
  <r>
    <s v="TXN-20345"/>
    <x v="59"/>
    <s v="Mar-2024"/>
    <x v="0"/>
    <x v="11"/>
    <x v="28"/>
    <s v="Stocks payment"/>
    <s v="Cash"/>
    <x v="129"/>
    <n v="8000"/>
    <s v="ICICI Credit Card"/>
    <x v="0"/>
    <n v="-3248.0299999999997"/>
    <n v="-4751.97"/>
    <s v="No"/>
  </r>
  <r>
    <s v="TXN-20685"/>
    <x v="60"/>
    <s v="Mar-2024"/>
    <x v="0"/>
    <x v="11"/>
    <x v="21"/>
    <s v="Fixed Deposit payment"/>
    <s v="Net Banking"/>
    <x v="130"/>
    <n v="8000"/>
    <s v="ICICI Credit Card"/>
    <x v="0"/>
    <n v="2205.5100000000002"/>
    <n v="-10205.51"/>
    <s v="Yes"/>
  </r>
  <r>
    <s v="TXN-20655"/>
    <x v="60"/>
    <s v="Mar-2024"/>
    <x v="0"/>
    <x v="3"/>
    <x v="3"/>
    <s v="Electronics payment"/>
    <s v="Credit Card"/>
    <x v="131"/>
    <n v="4000"/>
    <s v="HDFC Savings"/>
    <x v="1"/>
    <n v="344.61999999999989"/>
    <n v="-4344.62"/>
    <s v="Yes"/>
  </r>
  <r>
    <s v="TXN-20955"/>
    <x v="60"/>
    <s v="Mar-2024"/>
    <x v="0"/>
    <x v="5"/>
    <x v="5"/>
    <s v="House Rent payment"/>
    <s v="UPI"/>
    <x v="132"/>
    <n v="15000"/>
    <s v="HDFC Savings"/>
    <x v="0"/>
    <n v="-6334.43"/>
    <n v="-8665.57"/>
    <s v="No"/>
  </r>
  <r>
    <s v="TXN-20347"/>
    <x v="61"/>
    <s v="Mar-2024"/>
    <x v="0"/>
    <x v="5"/>
    <x v="5"/>
    <s v="House Rent payment"/>
    <s v="Net Banking"/>
    <x v="133"/>
    <n v="15000"/>
    <s v="Cash Wallet"/>
    <x v="0"/>
    <n v="-3659.2099999999991"/>
    <n v="-11340.79"/>
    <s v="No"/>
  </r>
  <r>
    <s v="TXN-20472"/>
    <x v="61"/>
    <s v="Mar-2024"/>
    <x v="1"/>
    <x v="9"/>
    <x v="14"/>
    <s v="Project Payment received"/>
    <s v="Credit Card"/>
    <x v="134"/>
    <n v="0"/>
    <s v="SBI Salary A/c"/>
    <x v="0"/>
    <s v="0"/>
    <n v="7003.11"/>
    <s v="Yes"/>
  </r>
  <r>
    <s v="TXN-20178"/>
    <x v="62"/>
    <s v="Mar-2024"/>
    <x v="0"/>
    <x v="3"/>
    <x v="3"/>
    <s v="Electronics payment"/>
    <s v="Cash"/>
    <x v="135"/>
    <n v="4000"/>
    <s v="SBI Salary A/c"/>
    <x v="1"/>
    <n v="-1786.52"/>
    <n v="-2213.48"/>
    <s v="No"/>
  </r>
  <r>
    <s v="TXN-20337"/>
    <x v="63"/>
    <s v="Mar-2024"/>
    <x v="0"/>
    <x v="2"/>
    <x v="30"/>
    <s v="Water Bill payment"/>
    <s v="UPI"/>
    <x v="136"/>
    <n v="3000"/>
    <s v="Cash Wallet"/>
    <x v="0"/>
    <n v="-143.4699999999998"/>
    <n v="-2856.53"/>
    <s v="No"/>
  </r>
  <r>
    <s v="TXN-20115"/>
    <x v="64"/>
    <s v="Mar-2024"/>
    <x v="0"/>
    <x v="4"/>
    <x v="4"/>
    <s v="Supermarket payment"/>
    <s v="Debit Card"/>
    <x v="137"/>
    <n v="6000"/>
    <s v="Cash Wallet"/>
    <x v="1"/>
    <n v="-230.63000000000011"/>
    <n v="-5769.37"/>
    <s v="No"/>
  </r>
  <r>
    <s v="TXN-20961"/>
    <x v="64"/>
    <s v="Mar-2024"/>
    <x v="0"/>
    <x v="1"/>
    <x v="22"/>
    <s v="Outing payment"/>
    <s v="Debit Card"/>
    <x v="138"/>
    <n v="2500"/>
    <s v="HDFC Savings"/>
    <x v="0"/>
    <n v="-177.11000000000013"/>
    <n v="-2322.89"/>
    <s v="No"/>
  </r>
  <r>
    <s v="TXN-20214"/>
    <x v="65"/>
    <s v="Mar-2024"/>
    <x v="0"/>
    <x v="0"/>
    <x v="8"/>
    <s v="Home Loan EMI payment"/>
    <s v="Net Banking"/>
    <x v="139"/>
    <n v="12000"/>
    <s v="HDFC Savings"/>
    <x v="0"/>
    <n v="1801.0300000000007"/>
    <n v="-13801.03"/>
    <s v="Yes"/>
  </r>
  <r>
    <s v="TXN-20547"/>
    <x v="65"/>
    <s v="Mar-2024"/>
    <x v="1"/>
    <x v="7"/>
    <x v="7"/>
    <s v="Monthly Salary received"/>
    <s v="UPI"/>
    <x v="140"/>
    <n v="0"/>
    <s v="ICICI Credit Card"/>
    <x v="0"/>
    <s v="0"/>
    <n v="50743.63"/>
    <s v="Yes"/>
  </r>
  <r>
    <s v="TXN-20790"/>
    <x v="65"/>
    <s v="Mar-2024"/>
    <x v="0"/>
    <x v="1"/>
    <x v="9"/>
    <s v="Streaming Subscription payment"/>
    <s v="Debit Card"/>
    <x v="141"/>
    <n v="2500"/>
    <s v="ICICI Credit Card"/>
    <x v="1"/>
    <n v="-786.96"/>
    <n v="-1713.04"/>
    <s v="No"/>
  </r>
  <r>
    <s v="TXN-20565"/>
    <x v="65"/>
    <s v="Mar-2024"/>
    <x v="0"/>
    <x v="4"/>
    <x v="16"/>
    <s v="Local Market payment"/>
    <s v="Cash"/>
    <x v="142"/>
    <n v="6000"/>
    <s v="SBI Salary A/c"/>
    <x v="1"/>
    <n v="-2738.16"/>
    <n v="-3261.84"/>
    <s v="No"/>
  </r>
  <r>
    <s v="TXN-20417"/>
    <x v="66"/>
    <s v="Mar-2024"/>
    <x v="0"/>
    <x v="8"/>
    <x v="20"/>
    <s v="Course Fee payment"/>
    <s v="Debit Card"/>
    <x v="143"/>
    <n v="2000"/>
    <s v="HDFC Savings"/>
    <x v="1"/>
    <n v="569.11999999999989"/>
    <n v="-2569.12"/>
    <s v="Yes"/>
  </r>
  <r>
    <s v="TXN-20112"/>
    <x v="67"/>
    <s v="Mar-2024"/>
    <x v="0"/>
    <x v="1"/>
    <x v="9"/>
    <s v="Streaming Subscription payment"/>
    <s v="UPI"/>
    <x v="144"/>
    <n v="2500"/>
    <s v="HDFC Savings"/>
    <x v="1"/>
    <n v="521.92000000000007"/>
    <n v="-3021.92"/>
    <s v="Yes"/>
  </r>
  <r>
    <s v="TXN-20102"/>
    <x v="68"/>
    <s v="Mar-2024"/>
    <x v="0"/>
    <x v="6"/>
    <x v="6"/>
    <s v="Cab/Taxi payment"/>
    <s v="Net Banking"/>
    <x v="145"/>
    <n v="3500"/>
    <s v="HDFC Savings"/>
    <x v="1"/>
    <n v="85.960000000000036"/>
    <n v="-3585.96"/>
    <s v="Yes"/>
  </r>
  <r>
    <s v="TXN-20966"/>
    <x v="68"/>
    <s v="Mar-2024"/>
    <x v="0"/>
    <x v="1"/>
    <x v="9"/>
    <s v="Streaming Subscription payment"/>
    <s v="Debit Card"/>
    <x v="146"/>
    <n v="2500"/>
    <s v="SBI Salary A/c"/>
    <x v="1"/>
    <n v="-116.9699999999998"/>
    <n v="-2383.0300000000002"/>
    <s v="No"/>
  </r>
  <r>
    <s v="TXN-20999"/>
    <x v="68"/>
    <s v="Mar-2024"/>
    <x v="0"/>
    <x v="4"/>
    <x v="16"/>
    <s v="Local Market payment"/>
    <s v="Credit Card"/>
    <x v="147"/>
    <n v="6000"/>
    <s v="Cash Wallet"/>
    <x v="1"/>
    <n v="-2269.89"/>
    <n v="-3730.11"/>
    <s v="No"/>
  </r>
  <r>
    <s v="TXN-20092"/>
    <x v="69"/>
    <s v="Mar-2024"/>
    <x v="0"/>
    <x v="4"/>
    <x v="16"/>
    <s v="Local Market payment"/>
    <s v="UPI"/>
    <x v="148"/>
    <n v="6000"/>
    <s v="HDFC Savings"/>
    <x v="1"/>
    <n v="1163.9399999999996"/>
    <n v="-7163.94"/>
    <s v="Yes"/>
  </r>
  <r>
    <s v="TXN-20468"/>
    <x v="69"/>
    <s v="Mar-2024"/>
    <x v="0"/>
    <x v="2"/>
    <x v="2"/>
    <s v="Internet Bill payment"/>
    <s v="Credit Card"/>
    <x v="149"/>
    <n v="3000"/>
    <s v="Cash Wallet"/>
    <x v="0"/>
    <n v="-726.40999999999985"/>
    <n v="-2273.59"/>
    <s v="No"/>
  </r>
  <r>
    <s v="TXN-20737"/>
    <x v="70"/>
    <s v="Mar-2024"/>
    <x v="0"/>
    <x v="4"/>
    <x v="4"/>
    <s v="Supermarket payment"/>
    <s v="Credit Card"/>
    <x v="150"/>
    <n v="6000"/>
    <s v="ICICI Credit Card"/>
    <x v="0"/>
    <n v="429.43000000000029"/>
    <n v="-6429.43"/>
    <s v="Yes"/>
  </r>
  <r>
    <s v="TXN-20164"/>
    <x v="70"/>
    <s v="Mar-2024"/>
    <x v="0"/>
    <x v="1"/>
    <x v="1"/>
    <s v="Movies payment"/>
    <s v="UPI"/>
    <x v="151"/>
    <n v="2500"/>
    <s v="Cash Wallet"/>
    <x v="0"/>
    <n v="462.02"/>
    <n v="-2962.02"/>
    <s v="Yes"/>
  </r>
  <r>
    <s v="TXN-20666"/>
    <x v="70"/>
    <s v="Mar-2024"/>
    <x v="0"/>
    <x v="4"/>
    <x v="16"/>
    <s v="Local Market payment"/>
    <s v="Cash"/>
    <x v="152"/>
    <n v="6000"/>
    <s v="HDFC Savings"/>
    <x v="1"/>
    <n v="-1741.6599999999999"/>
    <n v="-4258.34"/>
    <s v="No"/>
  </r>
  <r>
    <s v="TXN-20493"/>
    <x v="71"/>
    <s v="Mar-2024"/>
    <x v="0"/>
    <x v="1"/>
    <x v="22"/>
    <s v="Outing payment"/>
    <s v="Debit Card"/>
    <x v="153"/>
    <n v="2500"/>
    <s v="Cash Wallet"/>
    <x v="1"/>
    <n v="-1140.02"/>
    <n v="-1359.98"/>
    <s v="No"/>
  </r>
  <r>
    <s v="TXN-20264"/>
    <x v="71"/>
    <s v="Mar-2024"/>
    <x v="0"/>
    <x v="5"/>
    <x v="5"/>
    <s v="House Rent payment"/>
    <s v="UPI"/>
    <x v="154"/>
    <n v="15000"/>
    <s v="ICICI Credit Card"/>
    <x v="0"/>
    <n v="-4927.58"/>
    <n v="-10072.42"/>
    <s v="No"/>
  </r>
  <r>
    <s v="TXN-20818"/>
    <x v="71"/>
    <s v="Mar-2024"/>
    <x v="0"/>
    <x v="0"/>
    <x v="8"/>
    <s v="Home Loan EMI payment"/>
    <s v="Debit Card"/>
    <x v="155"/>
    <n v="12000"/>
    <s v="Cash Wallet"/>
    <x v="0"/>
    <n v="-3309.8099999999995"/>
    <n v="-8690.19"/>
    <s v="No"/>
  </r>
  <r>
    <s v="TXN-20156"/>
    <x v="72"/>
    <s v="Mar-2024"/>
    <x v="0"/>
    <x v="0"/>
    <x v="0"/>
    <s v="Personal Loan EMI payment"/>
    <s v="Net Banking"/>
    <x v="156"/>
    <n v="12000"/>
    <s v="ICICI Credit Card"/>
    <x v="0"/>
    <n v="-4348.59"/>
    <n v="-7651.41"/>
    <s v="No"/>
  </r>
  <r>
    <s v="TXN-20530"/>
    <x v="72"/>
    <s v="Mar-2024"/>
    <x v="0"/>
    <x v="0"/>
    <x v="13"/>
    <s v="Car Loan EMI payment"/>
    <s v="UPI"/>
    <x v="157"/>
    <n v="12000"/>
    <s v="ICICI Credit Card"/>
    <x v="0"/>
    <n v="-1555.0300000000007"/>
    <n v="-10444.969999999999"/>
    <s v="No"/>
  </r>
  <r>
    <s v="TXN-20990"/>
    <x v="72"/>
    <s v="Mar-2024"/>
    <x v="0"/>
    <x v="4"/>
    <x v="16"/>
    <s v="Local Market payment"/>
    <s v="UPI"/>
    <x v="158"/>
    <n v="6000"/>
    <s v="HDFC Savings"/>
    <x v="1"/>
    <n v="-491.86999999999989"/>
    <n v="-5508.13"/>
    <s v="No"/>
  </r>
  <r>
    <s v="TXN-20404"/>
    <x v="73"/>
    <s v="Apr-2024"/>
    <x v="0"/>
    <x v="4"/>
    <x v="16"/>
    <s v="Local Market payment"/>
    <s v="Net Banking"/>
    <x v="159"/>
    <n v="6000"/>
    <s v="ICICI Credit Card"/>
    <x v="0"/>
    <n v="1527.8199999999997"/>
    <n v="-7527.82"/>
    <s v="Yes"/>
  </r>
  <r>
    <s v="TXN-20154"/>
    <x v="74"/>
    <s v="Apr-2024"/>
    <x v="1"/>
    <x v="7"/>
    <x v="7"/>
    <s v="Monthly Salary received"/>
    <s v="Net Banking"/>
    <x v="160"/>
    <n v="0"/>
    <s v="ICICI Credit Card"/>
    <x v="0"/>
    <s v="0"/>
    <n v="41785.9"/>
    <s v="Yes"/>
  </r>
  <r>
    <s v="TXN-20026"/>
    <x v="74"/>
    <s v="Apr-2024"/>
    <x v="0"/>
    <x v="4"/>
    <x v="4"/>
    <s v="Supermarket payment"/>
    <s v="UPI"/>
    <x v="161"/>
    <n v="6000"/>
    <s v="Cash Wallet"/>
    <x v="1"/>
    <n v="-2885.27"/>
    <n v="-3114.73"/>
    <s v="No"/>
  </r>
  <r>
    <s v="TXN-20567"/>
    <x v="75"/>
    <s v="Apr-2024"/>
    <x v="1"/>
    <x v="7"/>
    <x v="7"/>
    <s v="Monthly Salary received"/>
    <s v="UPI"/>
    <x v="162"/>
    <n v="0"/>
    <s v="SBI Salary A/c"/>
    <x v="0"/>
    <s v="0"/>
    <n v="53538.25"/>
    <s v="Yes"/>
  </r>
  <r>
    <s v="TXN-20144"/>
    <x v="75"/>
    <s v="Apr-2024"/>
    <x v="0"/>
    <x v="4"/>
    <x v="16"/>
    <s v="Local Market payment"/>
    <s v="UPI"/>
    <x v="163"/>
    <n v="6000"/>
    <s v="ICICI Credit Card"/>
    <x v="1"/>
    <n v="602.60999999999967"/>
    <n v="-6602.61"/>
    <s v="Yes"/>
  </r>
  <r>
    <s v="TXN-20855"/>
    <x v="76"/>
    <s v="Apr-2024"/>
    <x v="0"/>
    <x v="11"/>
    <x v="21"/>
    <s v="Fixed Deposit payment"/>
    <s v="UPI"/>
    <x v="164"/>
    <n v="8000"/>
    <s v="SBI Salary A/c"/>
    <x v="0"/>
    <n v="-270.35000000000036"/>
    <n v="-7729.65"/>
    <s v="No"/>
  </r>
  <r>
    <s v="TXN-20950"/>
    <x v="77"/>
    <s v="Apr-2024"/>
    <x v="0"/>
    <x v="1"/>
    <x v="9"/>
    <s v="Streaming Subscription payment"/>
    <s v="Net Banking"/>
    <x v="165"/>
    <n v="2500"/>
    <s v="Cash Wallet"/>
    <x v="1"/>
    <n v="639.11000000000013"/>
    <n v="-3139.11"/>
    <s v="Yes"/>
  </r>
  <r>
    <s v="TXN-20582"/>
    <x v="78"/>
    <s v="Apr-2024"/>
    <x v="0"/>
    <x v="2"/>
    <x v="2"/>
    <s v="Internet Bill payment"/>
    <s v="UPI"/>
    <x v="166"/>
    <n v="3000"/>
    <s v="SBI Salary A/c"/>
    <x v="0"/>
    <n v="541.79"/>
    <n v="-3541.79"/>
    <s v="Yes"/>
  </r>
  <r>
    <s v="TXN-20143"/>
    <x v="78"/>
    <s v="Apr-2024"/>
    <x v="0"/>
    <x v="0"/>
    <x v="8"/>
    <s v="Home Loan EMI payment"/>
    <s v="Net Banking"/>
    <x v="167"/>
    <n v="12000"/>
    <s v="HDFC Savings"/>
    <x v="0"/>
    <n v="3182.34"/>
    <n v="-15182.34"/>
    <s v="Yes"/>
  </r>
  <r>
    <s v="TXN-20787"/>
    <x v="78"/>
    <s v="Apr-2024"/>
    <x v="0"/>
    <x v="0"/>
    <x v="0"/>
    <s v="Personal Loan EMI payment"/>
    <s v="Net Banking"/>
    <x v="168"/>
    <n v="12000"/>
    <s v="SBI Salary A/c"/>
    <x v="0"/>
    <n v="-3067.26"/>
    <n v="-8932.74"/>
    <s v="No"/>
  </r>
  <r>
    <s v="TXN-20612"/>
    <x v="79"/>
    <s v="Apr-2024"/>
    <x v="0"/>
    <x v="5"/>
    <x v="5"/>
    <s v="House Rent payment"/>
    <s v="Cash"/>
    <x v="169"/>
    <n v="15000"/>
    <s v="Cash Wallet"/>
    <x v="0"/>
    <n v="4470.119999999999"/>
    <n v="-19470.12"/>
    <s v="Yes"/>
  </r>
  <r>
    <s v="TXN-20330"/>
    <x v="80"/>
    <s v="Apr-2024"/>
    <x v="1"/>
    <x v="7"/>
    <x v="7"/>
    <s v="Monthly Salary received"/>
    <s v="UPI"/>
    <x v="170"/>
    <n v="0"/>
    <s v="Cash Wallet"/>
    <x v="0"/>
    <s v="0"/>
    <n v="54500.19"/>
    <s v="Yes"/>
  </r>
  <r>
    <s v="TXN-20061"/>
    <x v="80"/>
    <s v="Apr-2024"/>
    <x v="0"/>
    <x v="8"/>
    <x v="10"/>
    <s v="Books payment"/>
    <s v="Credit Card"/>
    <x v="171"/>
    <n v="2000"/>
    <s v="Cash Wallet"/>
    <x v="1"/>
    <n v="-883.31"/>
    <n v="-1116.69"/>
    <s v="No"/>
  </r>
  <r>
    <s v="TXN-20394"/>
    <x v="81"/>
    <s v="Apr-2024"/>
    <x v="1"/>
    <x v="9"/>
    <x v="14"/>
    <s v="Project Payment received"/>
    <s v="Credit Card"/>
    <x v="172"/>
    <n v="0"/>
    <s v="HDFC Savings"/>
    <x v="1"/>
    <s v="0"/>
    <n v="6209.73"/>
    <s v="Yes"/>
  </r>
  <r>
    <s v="TXN-20821"/>
    <x v="81"/>
    <s v="Apr-2024"/>
    <x v="0"/>
    <x v="0"/>
    <x v="0"/>
    <s v="Personal Loan EMI payment"/>
    <s v="UPI"/>
    <x v="173"/>
    <n v="12000"/>
    <s v="HDFC Savings"/>
    <x v="0"/>
    <n v="123.94000000000051"/>
    <n v="-12123.94"/>
    <s v="Yes"/>
  </r>
  <r>
    <s v="TXN-20174"/>
    <x v="81"/>
    <s v="Apr-2024"/>
    <x v="0"/>
    <x v="6"/>
    <x v="26"/>
    <s v="Fuel payment"/>
    <s v="Net Banking"/>
    <x v="174"/>
    <n v="3500"/>
    <s v="Cash Wallet"/>
    <x v="0"/>
    <n v="425.13999999999987"/>
    <n v="-3925.14"/>
    <s v="Yes"/>
  </r>
  <r>
    <s v="TXN-20225"/>
    <x v="82"/>
    <s v="Apr-2024"/>
    <x v="0"/>
    <x v="5"/>
    <x v="5"/>
    <s v="House Rent payment"/>
    <s v="UPI"/>
    <x v="175"/>
    <n v="15000"/>
    <s v="Cash Wallet"/>
    <x v="0"/>
    <n v="609.56999999999971"/>
    <n v="-15609.57"/>
    <s v="Yes"/>
  </r>
  <r>
    <s v="TXN-20798"/>
    <x v="83"/>
    <s v="Apr-2024"/>
    <x v="0"/>
    <x v="3"/>
    <x v="15"/>
    <s v="Clothing payment"/>
    <s v="Credit Card"/>
    <x v="176"/>
    <n v="4000"/>
    <s v="ICICI Credit Card"/>
    <x v="0"/>
    <n v="-1008.5500000000002"/>
    <n v="-2991.45"/>
    <s v="No"/>
  </r>
  <r>
    <s v="TXN-20313"/>
    <x v="83"/>
    <s v="Apr-2024"/>
    <x v="1"/>
    <x v="7"/>
    <x v="7"/>
    <s v="Monthly Salary received"/>
    <s v="Debit Card"/>
    <x v="177"/>
    <n v="0"/>
    <s v="ICICI Credit Card"/>
    <x v="0"/>
    <s v="0"/>
    <n v="45193.33"/>
    <s v="Yes"/>
  </r>
  <r>
    <s v="TXN-20495"/>
    <x v="83"/>
    <s v="Apr-2024"/>
    <x v="0"/>
    <x v="2"/>
    <x v="30"/>
    <s v="Water Bill payment"/>
    <s v="Cash"/>
    <x v="178"/>
    <n v="3000"/>
    <s v="Cash Wallet"/>
    <x v="0"/>
    <n v="-1139.23"/>
    <n v="-1860.77"/>
    <s v="No"/>
  </r>
  <r>
    <s v="TXN-20924"/>
    <x v="84"/>
    <s v="Apr-2024"/>
    <x v="0"/>
    <x v="11"/>
    <x v="21"/>
    <s v="Fixed Deposit payment"/>
    <s v="UPI"/>
    <x v="179"/>
    <n v="8000"/>
    <s v="ICICI Credit Card"/>
    <x v="0"/>
    <n v="989.19000000000051"/>
    <n v="-8989.19"/>
    <s v="Yes"/>
  </r>
  <r>
    <s v="TXN-20192"/>
    <x v="84"/>
    <s v="Apr-2024"/>
    <x v="0"/>
    <x v="0"/>
    <x v="13"/>
    <s v="Car Loan EMI payment"/>
    <s v="Debit Card"/>
    <x v="180"/>
    <n v="12000"/>
    <s v="SBI Salary A/c"/>
    <x v="0"/>
    <n v="-3501.9500000000007"/>
    <n v="-8498.0499999999993"/>
    <s v="No"/>
  </r>
  <r>
    <s v="TXN-20627"/>
    <x v="84"/>
    <s v="Apr-2024"/>
    <x v="0"/>
    <x v="5"/>
    <x v="5"/>
    <s v="House Rent payment"/>
    <s v="Debit Card"/>
    <x v="181"/>
    <n v="15000"/>
    <s v="HDFC Savings"/>
    <x v="0"/>
    <n v="3661.4399999999987"/>
    <n v="-18661.439999999999"/>
    <s v="Yes"/>
  </r>
  <r>
    <s v="TXN-20583"/>
    <x v="84"/>
    <s v="Apr-2024"/>
    <x v="0"/>
    <x v="0"/>
    <x v="8"/>
    <s v="Home Loan EMI payment"/>
    <s v="Net Banking"/>
    <x v="182"/>
    <n v="12000"/>
    <s v="ICICI Credit Card"/>
    <x v="0"/>
    <n v="2625.6100000000006"/>
    <n v="-14625.61"/>
    <s v="Yes"/>
  </r>
  <r>
    <s v="TXN-20930"/>
    <x v="85"/>
    <s v="Apr-2024"/>
    <x v="1"/>
    <x v="7"/>
    <x v="7"/>
    <s v="Monthly Salary received"/>
    <s v="Credit Card"/>
    <x v="183"/>
    <n v="0"/>
    <s v="ICICI Credit Card"/>
    <x v="0"/>
    <s v="0"/>
    <n v="46935.44"/>
    <s v="Yes"/>
  </r>
  <r>
    <s v="TXN-20504"/>
    <x v="85"/>
    <s v="Apr-2024"/>
    <x v="0"/>
    <x v="11"/>
    <x v="19"/>
    <s v="Mutual Fund SIP payment"/>
    <s v="Credit Card"/>
    <x v="184"/>
    <n v="8000"/>
    <s v="Cash Wallet"/>
    <x v="0"/>
    <n v="1853.8899999999994"/>
    <n v="-9853.89"/>
    <s v="Yes"/>
  </r>
  <r>
    <s v="TXN-20179"/>
    <x v="85"/>
    <s v="Apr-2024"/>
    <x v="0"/>
    <x v="2"/>
    <x v="2"/>
    <s v="Internet Bill payment"/>
    <s v="Debit Card"/>
    <x v="185"/>
    <n v="3000"/>
    <s v="Cash Wallet"/>
    <x v="0"/>
    <n v="-1399.15"/>
    <n v="-1600.85"/>
    <s v="No"/>
  </r>
  <r>
    <s v="TXN-20903"/>
    <x v="86"/>
    <s v="Apr-2024"/>
    <x v="0"/>
    <x v="10"/>
    <x v="27"/>
    <s v="Doctor Visit payment"/>
    <s v="Cash"/>
    <x v="186"/>
    <n v="2000"/>
    <s v="ICICI Credit Card"/>
    <x v="1"/>
    <n v="598.30000000000018"/>
    <n v="-2598.3000000000002"/>
    <s v="Yes"/>
  </r>
  <r>
    <s v="TXN-20509"/>
    <x v="86"/>
    <s v="Apr-2024"/>
    <x v="0"/>
    <x v="5"/>
    <x v="5"/>
    <s v="House Rent payment"/>
    <s v="Net Banking"/>
    <x v="187"/>
    <n v="15000"/>
    <s v="ICICI Credit Card"/>
    <x v="0"/>
    <n v="2889.119999999999"/>
    <n v="-17889.12"/>
    <s v="Yes"/>
  </r>
  <r>
    <s v="TXN-20346"/>
    <x v="86"/>
    <s v="Apr-2024"/>
    <x v="0"/>
    <x v="1"/>
    <x v="9"/>
    <s v="Streaming Subscription payment"/>
    <s v="UPI"/>
    <x v="188"/>
    <n v="2500"/>
    <s v="SBI Salary A/c"/>
    <x v="1"/>
    <n v="-1038.94"/>
    <n v="-1461.06"/>
    <s v="No"/>
  </r>
  <r>
    <s v="TXN-20770"/>
    <x v="87"/>
    <s v="Apr-2024"/>
    <x v="0"/>
    <x v="10"/>
    <x v="17"/>
    <s v="Pharmacy payment"/>
    <s v="UPI"/>
    <x v="189"/>
    <n v="2000"/>
    <s v="Cash Wallet"/>
    <x v="0"/>
    <n v="470.40000000000009"/>
    <n v="-2470.4"/>
    <s v="Yes"/>
  </r>
  <r>
    <s v="TXN-20204"/>
    <x v="87"/>
    <s v="Apr-2024"/>
    <x v="0"/>
    <x v="5"/>
    <x v="5"/>
    <s v="House Rent payment"/>
    <s v="Credit Card"/>
    <x v="190"/>
    <n v="15000"/>
    <s v="HDFC Savings"/>
    <x v="0"/>
    <n v="497.61000000000058"/>
    <n v="-15497.61"/>
    <s v="Yes"/>
  </r>
  <r>
    <s v="TXN-20181"/>
    <x v="88"/>
    <s v="Apr-2024"/>
    <x v="0"/>
    <x v="6"/>
    <x v="6"/>
    <s v="Cab/Taxi payment"/>
    <s v="Credit Card"/>
    <x v="191"/>
    <n v="3500"/>
    <s v="Cash Wallet"/>
    <x v="1"/>
    <n v="-1157.4000000000001"/>
    <n v="-2342.6"/>
    <s v="No"/>
  </r>
  <r>
    <s v="TXN-20758"/>
    <x v="88"/>
    <s v="Apr-2024"/>
    <x v="0"/>
    <x v="1"/>
    <x v="9"/>
    <s v="Streaming Subscription payment"/>
    <s v="Credit Card"/>
    <x v="192"/>
    <n v="2500"/>
    <s v="HDFC Savings"/>
    <x v="0"/>
    <n v="472.69999999999982"/>
    <n v="-2972.7"/>
    <s v="Yes"/>
  </r>
  <r>
    <s v="TXN-20719"/>
    <x v="88"/>
    <s v="Apr-2024"/>
    <x v="0"/>
    <x v="8"/>
    <x v="10"/>
    <s v="Books payment"/>
    <s v="UPI"/>
    <x v="193"/>
    <n v="2000"/>
    <s v="Cash Wallet"/>
    <x v="1"/>
    <n v="-292.45000000000005"/>
    <n v="-1707.55"/>
    <s v="No"/>
  </r>
  <r>
    <s v="TXN-20864"/>
    <x v="88"/>
    <s v="Apr-2024"/>
    <x v="0"/>
    <x v="2"/>
    <x v="12"/>
    <s v="Mobile Recharge payment"/>
    <s v="Credit Card"/>
    <x v="194"/>
    <n v="3000"/>
    <s v="SBI Salary A/c"/>
    <x v="0"/>
    <n v="607.02"/>
    <n v="-3607.02"/>
    <s v="Yes"/>
  </r>
  <r>
    <s v="TXN-20436"/>
    <x v="88"/>
    <s v="Apr-2024"/>
    <x v="0"/>
    <x v="4"/>
    <x v="4"/>
    <s v="Supermarket payment"/>
    <s v="Cash"/>
    <x v="195"/>
    <n v="6000"/>
    <s v="ICICI Credit Card"/>
    <x v="0"/>
    <n v="205.48999999999978"/>
    <n v="-6205.49"/>
    <s v="Yes"/>
  </r>
  <r>
    <s v="TXN-20318"/>
    <x v="89"/>
    <s v="Apr-2024"/>
    <x v="0"/>
    <x v="10"/>
    <x v="27"/>
    <s v="Doctor Visit payment"/>
    <s v="Credit Card"/>
    <x v="196"/>
    <n v="2000"/>
    <s v="ICICI Credit Card"/>
    <x v="1"/>
    <n v="-685.3599999999999"/>
    <n v="-1314.64"/>
    <s v="No"/>
  </r>
  <r>
    <s v="TXN-20190"/>
    <x v="90"/>
    <s v="Apr-2024"/>
    <x v="1"/>
    <x v="7"/>
    <x v="7"/>
    <s v="Monthly Salary received"/>
    <s v="UPI"/>
    <x v="197"/>
    <n v="0"/>
    <s v="SBI Salary A/c"/>
    <x v="0"/>
    <s v="0"/>
    <n v="43190.01"/>
    <s v="Yes"/>
  </r>
  <r>
    <s v="TXN-20764"/>
    <x v="90"/>
    <s v="Apr-2024"/>
    <x v="0"/>
    <x v="1"/>
    <x v="22"/>
    <s v="Outing payment"/>
    <s v="Credit Card"/>
    <x v="198"/>
    <n v="2500"/>
    <s v="Cash Wallet"/>
    <x v="1"/>
    <n v="-1143.43"/>
    <n v="-1356.57"/>
    <s v="No"/>
  </r>
  <r>
    <s v="TXN-20556"/>
    <x v="91"/>
    <s v="Apr-2024"/>
    <x v="0"/>
    <x v="0"/>
    <x v="13"/>
    <s v="Car Loan EMI payment"/>
    <s v="UPI"/>
    <x v="199"/>
    <n v="12000"/>
    <s v="ICICI Credit Card"/>
    <x v="0"/>
    <n v="904.42000000000007"/>
    <n v="-12904.42"/>
    <s v="Yes"/>
  </r>
  <r>
    <s v="TXN-20485"/>
    <x v="91"/>
    <s v="Apr-2024"/>
    <x v="0"/>
    <x v="10"/>
    <x v="27"/>
    <s v="Doctor Visit payment"/>
    <s v="Credit Card"/>
    <x v="200"/>
    <n v="2000"/>
    <s v="SBI Salary A/c"/>
    <x v="1"/>
    <n v="-44.069999999999936"/>
    <n v="-1955.93"/>
    <s v="No"/>
  </r>
  <r>
    <s v="TXN-20939"/>
    <x v="92"/>
    <s v="Apr-2024"/>
    <x v="0"/>
    <x v="3"/>
    <x v="15"/>
    <s v="Clothing payment"/>
    <s v="Credit Card"/>
    <x v="201"/>
    <n v="4000"/>
    <s v="ICICI Credit Card"/>
    <x v="1"/>
    <n v="-1723.35"/>
    <n v="-2276.65"/>
    <s v="No"/>
  </r>
  <r>
    <s v="TXN-20659"/>
    <x v="92"/>
    <s v="Apr-2024"/>
    <x v="0"/>
    <x v="0"/>
    <x v="13"/>
    <s v="Car Loan EMI payment"/>
    <s v="Debit Card"/>
    <x v="202"/>
    <n v="12000"/>
    <s v="Cash Wallet"/>
    <x v="0"/>
    <n v="-2261.3199999999997"/>
    <n v="-9738.68"/>
    <s v="No"/>
  </r>
  <r>
    <s v="TXN-20480"/>
    <x v="93"/>
    <s v="Apr-2024"/>
    <x v="0"/>
    <x v="11"/>
    <x v="28"/>
    <s v="Stocks payment"/>
    <s v="Credit Card"/>
    <x v="203"/>
    <n v="8000"/>
    <s v="ICICI Credit Card"/>
    <x v="0"/>
    <n v="-1963.6000000000004"/>
    <n v="-6036.4"/>
    <s v="No"/>
  </r>
  <r>
    <s v="TXN-20282"/>
    <x v="94"/>
    <s v="Apr-2024"/>
    <x v="0"/>
    <x v="10"/>
    <x v="24"/>
    <s v="Health Insurance payment"/>
    <s v="Net Banking"/>
    <x v="204"/>
    <n v="2000"/>
    <s v="HDFC Savings"/>
    <x v="1"/>
    <n v="391.57999999999993"/>
    <n v="-2391.58"/>
    <s v="Yes"/>
  </r>
  <r>
    <s v="TXN-20361"/>
    <x v="94"/>
    <s v="Apr-2024"/>
    <x v="0"/>
    <x v="2"/>
    <x v="18"/>
    <s v="Electricity Bill payment"/>
    <s v="Net Banking"/>
    <x v="205"/>
    <n v="3000"/>
    <s v="SBI Salary A/c"/>
    <x v="0"/>
    <n v="197.32000000000016"/>
    <n v="-3197.32"/>
    <s v="Yes"/>
  </r>
  <r>
    <s v="TXN-20971"/>
    <x v="94"/>
    <s v="Apr-2024"/>
    <x v="0"/>
    <x v="2"/>
    <x v="12"/>
    <s v="Mobile Recharge payment"/>
    <s v="Credit Card"/>
    <x v="206"/>
    <n v="3000"/>
    <s v="SBI Salary A/c"/>
    <x v="0"/>
    <n v="490.88000000000011"/>
    <n v="-3490.88"/>
    <s v="Yes"/>
  </r>
  <r>
    <s v="TXN-20598"/>
    <x v="94"/>
    <s v="Apr-2024"/>
    <x v="0"/>
    <x v="11"/>
    <x v="21"/>
    <s v="Fixed Deposit payment"/>
    <s v="Credit Card"/>
    <x v="207"/>
    <n v="8000"/>
    <s v="ICICI Credit Card"/>
    <x v="0"/>
    <n v="252.71999999999935"/>
    <n v="-8252.7199999999993"/>
    <s v="Yes"/>
  </r>
  <r>
    <s v="TXN-20801"/>
    <x v="95"/>
    <s v="Apr-2024"/>
    <x v="0"/>
    <x v="6"/>
    <x v="6"/>
    <s v="Cab/Taxi payment"/>
    <s v="UPI"/>
    <x v="208"/>
    <n v="3500"/>
    <s v="ICICI Credit Card"/>
    <x v="1"/>
    <n v="130.67000000000007"/>
    <n v="-3630.67"/>
    <s v="Yes"/>
  </r>
  <r>
    <s v="TXN-20316"/>
    <x v="96"/>
    <s v="Apr-2024"/>
    <x v="1"/>
    <x v="12"/>
    <x v="31"/>
    <s v="Dividend received"/>
    <s v="Net Banking"/>
    <x v="209"/>
    <n v="0"/>
    <s v="SBI Salary A/c"/>
    <x v="1"/>
    <s v="0"/>
    <n v="1763.19"/>
    <s v="Yes"/>
  </r>
  <r>
    <s v="TXN-20740"/>
    <x v="96"/>
    <s v="Apr-2024"/>
    <x v="0"/>
    <x v="0"/>
    <x v="8"/>
    <s v="Home Loan EMI payment"/>
    <s v="Credit Card"/>
    <x v="210"/>
    <n v="12000"/>
    <s v="ICICI Credit Card"/>
    <x v="0"/>
    <n v="-2711.7199999999993"/>
    <n v="-9288.2800000000007"/>
    <s v="No"/>
  </r>
  <r>
    <s v="TXN-20275"/>
    <x v="97"/>
    <s v="Apr-2024"/>
    <x v="1"/>
    <x v="7"/>
    <x v="7"/>
    <s v="Monthly Salary received"/>
    <s v="Debit Card"/>
    <x v="211"/>
    <n v="0"/>
    <s v="SBI Salary A/c"/>
    <x v="0"/>
    <s v="0"/>
    <n v="41052.01"/>
    <s v="Yes"/>
  </r>
  <r>
    <s v="TXN-20819"/>
    <x v="97"/>
    <s v="Apr-2024"/>
    <x v="0"/>
    <x v="10"/>
    <x v="24"/>
    <s v="Health Insurance payment"/>
    <s v="UPI"/>
    <x v="212"/>
    <n v="2000"/>
    <s v="Cash Wallet"/>
    <x v="0"/>
    <n v="292.73"/>
    <n v="-2292.73"/>
    <s v="Yes"/>
  </r>
  <r>
    <s v="TXN-20456"/>
    <x v="97"/>
    <s v="Apr-2024"/>
    <x v="0"/>
    <x v="3"/>
    <x v="15"/>
    <s v="Clothing payment"/>
    <s v="Credit Card"/>
    <x v="213"/>
    <n v="4000"/>
    <s v="HDFC Savings"/>
    <x v="0"/>
    <n v="-15.730000000000018"/>
    <n v="-3984.27"/>
    <s v="No"/>
  </r>
  <r>
    <s v="TXN-20355"/>
    <x v="98"/>
    <s v="Apr-2024"/>
    <x v="1"/>
    <x v="7"/>
    <x v="7"/>
    <s v="Monthly Salary received"/>
    <s v="Credit Card"/>
    <x v="214"/>
    <n v="0"/>
    <s v="ICICI Credit Card"/>
    <x v="0"/>
    <s v="0"/>
    <n v="54035.12"/>
    <s v="Yes"/>
  </r>
  <r>
    <s v="TXN-20552"/>
    <x v="98"/>
    <s v="Apr-2024"/>
    <x v="0"/>
    <x v="4"/>
    <x v="16"/>
    <s v="Local Market payment"/>
    <s v="UPI"/>
    <x v="215"/>
    <n v="6000"/>
    <s v="Cash Wallet"/>
    <x v="1"/>
    <n v="-2633.89"/>
    <n v="-3366.11"/>
    <s v="No"/>
  </r>
  <r>
    <s v="TXN-20135"/>
    <x v="99"/>
    <s v="May-2024"/>
    <x v="0"/>
    <x v="6"/>
    <x v="11"/>
    <s v="Public Transport payment"/>
    <s v="Debit Card"/>
    <x v="216"/>
    <n v="3500"/>
    <s v="SBI Salary A/c"/>
    <x v="1"/>
    <n v="10.329999999999927"/>
    <n v="-3510.33"/>
    <s v="Yes"/>
  </r>
  <r>
    <s v="TXN-20218"/>
    <x v="100"/>
    <s v="May-2024"/>
    <x v="0"/>
    <x v="6"/>
    <x v="11"/>
    <s v="Public Transport payment"/>
    <s v="UPI"/>
    <x v="217"/>
    <n v="3500"/>
    <s v="ICICI Credit Card"/>
    <x v="1"/>
    <n v="-797.04"/>
    <n v="-2702.96"/>
    <s v="No"/>
  </r>
  <r>
    <s v="TXN-20793"/>
    <x v="100"/>
    <s v="May-2024"/>
    <x v="0"/>
    <x v="5"/>
    <x v="5"/>
    <s v="House Rent payment"/>
    <s v="Net Banking"/>
    <x v="218"/>
    <n v="15000"/>
    <s v="Cash Wallet"/>
    <x v="0"/>
    <n v="3851.0800000000017"/>
    <n v="-18851.080000000002"/>
    <s v="Yes"/>
  </r>
  <r>
    <s v="TXN-20139"/>
    <x v="100"/>
    <s v="May-2024"/>
    <x v="0"/>
    <x v="1"/>
    <x v="1"/>
    <s v="Movies payment"/>
    <s v="Cash"/>
    <x v="219"/>
    <n v="2500"/>
    <s v="HDFC Savings"/>
    <x v="1"/>
    <n v="-430.82999999999993"/>
    <n v="-2069.17"/>
    <s v="No"/>
  </r>
  <r>
    <s v="TXN-20609"/>
    <x v="101"/>
    <s v="May-2024"/>
    <x v="0"/>
    <x v="4"/>
    <x v="4"/>
    <s v="Supermarket payment"/>
    <s v="UPI"/>
    <x v="220"/>
    <n v="6000"/>
    <s v="HDFC Savings"/>
    <x v="1"/>
    <n v="-1402.4799999999996"/>
    <n v="-4597.5200000000004"/>
    <s v="No"/>
  </r>
  <r>
    <s v="TXN-20457"/>
    <x v="102"/>
    <s v="May-2024"/>
    <x v="0"/>
    <x v="1"/>
    <x v="1"/>
    <s v="Movies payment"/>
    <s v="Net Banking"/>
    <x v="221"/>
    <n v="2500"/>
    <s v="SBI Salary A/c"/>
    <x v="1"/>
    <n v="254.28999999999996"/>
    <n v="-2754.29"/>
    <s v="Yes"/>
  </r>
  <r>
    <s v="TXN-20907"/>
    <x v="103"/>
    <s v="May-2024"/>
    <x v="0"/>
    <x v="8"/>
    <x v="10"/>
    <s v="Books payment"/>
    <s v="Debit Card"/>
    <x v="222"/>
    <n v="2000"/>
    <s v="ICICI Credit Card"/>
    <x v="1"/>
    <n v="-736.95"/>
    <n v="-1263.05"/>
    <s v="No"/>
  </r>
  <r>
    <s v="TXN-20670"/>
    <x v="103"/>
    <s v="May-2024"/>
    <x v="1"/>
    <x v="7"/>
    <x v="7"/>
    <s v="Monthly Salary received"/>
    <s v="UPI"/>
    <x v="223"/>
    <n v="0"/>
    <s v="Cash Wallet"/>
    <x v="0"/>
    <s v="0"/>
    <n v="52196.75"/>
    <s v="Yes"/>
  </r>
  <r>
    <s v="TXN-20173"/>
    <x v="104"/>
    <s v="May-2024"/>
    <x v="0"/>
    <x v="1"/>
    <x v="1"/>
    <s v="Movies payment"/>
    <s v="Debit Card"/>
    <x v="224"/>
    <n v="2500"/>
    <s v="ICICI Credit Card"/>
    <x v="1"/>
    <n v="95.139999999999873"/>
    <n v="-2595.14"/>
    <s v="Yes"/>
  </r>
  <r>
    <s v="TXN-20438"/>
    <x v="105"/>
    <s v="May-2024"/>
    <x v="0"/>
    <x v="8"/>
    <x v="10"/>
    <s v="Books payment"/>
    <s v="UPI"/>
    <x v="225"/>
    <n v="2000"/>
    <s v="ICICI Credit Card"/>
    <x v="1"/>
    <n v="-778.04"/>
    <n v="-1221.96"/>
    <s v="No"/>
  </r>
  <r>
    <s v="TXN-20976"/>
    <x v="106"/>
    <s v="May-2024"/>
    <x v="0"/>
    <x v="10"/>
    <x v="27"/>
    <s v="Doctor Visit payment"/>
    <s v="UPI"/>
    <x v="226"/>
    <n v="2000"/>
    <s v="Cash Wallet"/>
    <x v="1"/>
    <n v="-611.6099999999999"/>
    <n v="-1388.39"/>
    <s v="No"/>
  </r>
  <r>
    <s v="TXN-20104"/>
    <x v="107"/>
    <s v="May-2024"/>
    <x v="0"/>
    <x v="4"/>
    <x v="16"/>
    <s v="Local Market payment"/>
    <s v="UPI"/>
    <x v="227"/>
    <n v="6000"/>
    <s v="ICICI Credit Card"/>
    <x v="1"/>
    <n v="-734.44999999999982"/>
    <n v="-5265.55"/>
    <s v="No"/>
  </r>
  <r>
    <s v="TXN-20496"/>
    <x v="107"/>
    <s v="May-2024"/>
    <x v="1"/>
    <x v="7"/>
    <x v="7"/>
    <s v="Monthly Salary received"/>
    <s v="UPI"/>
    <x v="228"/>
    <n v="0"/>
    <s v="HDFC Savings"/>
    <x v="0"/>
    <s v="0"/>
    <n v="46880.41"/>
    <s v="Yes"/>
  </r>
  <r>
    <s v="TXN-20159"/>
    <x v="108"/>
    <s v="May-2024"/>
    <x v="0"/>
    <x v="2"/>
    <x v="2"/>
    <s v="Internet Bill payment"/>
    <s v="Credit Card"/>
    <x v="229"/>
    <n v="3000"/>
    <s v="SBI Salary A/c"/>
    <x v="0"/>
    <n v="750.38000000000011"/>
    <n v="-3750.38"/>
    <s v="Yes"/>
  </r>
  <r>
    <s v="TXN-20364"/>
    <x v="109"/>
    <s v="May-2024"/>
    <x v="1"/>
    <x v="12"/>
    <x v="31"/>
    <s v="Dividend received"/>
    <s v="Credit Card"/>
    <x v="230"/>
    <n v="0"/>
    <s v="SBI Salary A/c"/>
    <x v="1"/>
    <s v="0"/>
    <n v="3602.51"/>
    <s v="Yes"/>
  </r>
  <r>
    <s v="TXN-20515"/>
    <x v="109"/>
    <s v="May-2024"/>
    <x v="0"/>
    <x v="0"/>
    <x v="13"/>
    <s v="Car Loan EMI payment"/>
    <s v="Cash"/>
    <x v="231"/>
    <n v="12000"/>
    <s v="Cash Wallet"/>
    <x v="0"/>
    <n v="-2813.25"/>
    <n v="-9186.75"/>
    <s v="No"/>
  </r>
  <r>
    <s v="TXN-20122"/>
    <x v="110"/>
    <s v="May-2024"/>
    <x v="0"/>
    <x v="1"/>
    <x v="22"/>
    <s v="Outing payment"/>
    <s v="Debit Card"/>
    <x v="232"/>
    <n v="2500"/>
    <s v="ICICI Credit Card"/>
    <x v="1"/>
    <n v="278.92999999999984"/>
    <n v="-2778.93"/>
    <s v="Yes"/>
  </r>
  <r>
    <s v="TXN-20880"/>
    <x v="111"/>
    <s v="May-2024"/>
    <x v="0"/>
    <x v="3"/>
    <x v="15"/>
    <s v="Clothing payment"/>
    <s v="Credit Card"/>
    <x v="233"/>
    <n v="4000"/>
    <s v="ICICI Credit Card"/>
    <x v="1"/>
    <n v="-1569.4"/>
    <n v="-2430.6"/>
    <s v="No"/>
  </r>
  <r>
    <s v="TXN-20289"/>
    <x v="111"/>
    <s v="May-2024"/>
    <x v="0"/>
    <x v="2"/>
    <x v="30"/>
    <s v="Water Bill payment"/>
    <s v="Credit Card"/>
    <x v="234"/>
    <n v="3000"/>
    <s v="ICICI Credit Card"/>
    <x v="0"/>
    <n v="-1378.86"/>
    <n v="-1621.14"/>
    <s v="No"/>
  </r>
  <r>
    <s v="TXN-20120"/>
    <x v="112"/>
    <s v="May-2024"/>
    <x v="0"/>
    <x v="6"/>
    <x v="11"/>
    <s v="Public Transport payment"/>
    <s v="UPI"/>
    <x v="235"/>
    <n v="3500"/>
    <s v="ICICI Credit Card"/>
    <x v="1"/>
    <n v="-1174.25"/>
    <n v="-2325.75"/>
    <s v="No"/>
  </r>
  <r>
    <s v="TXN-20593"/>
    <x v="113"/>
    <s v="May-2024"/>
    <x v="1"/>
    <x v="7"/>
    <x v="7"/>
    <s v="Monthly Salary received"/>
    <s v="Net Banking"/>
    <x v="236"/>
    <n v="0"/>
    <s v="Cash Wallet"/>
    <x v="0"/>
    <s v="0"/>
    <n v="54561.29"/>
    <s v="Yes"/>
  </r>
  <r>
    <s v="TXN-20735"/>
    <x v="113"/>
    <s v="May-2024"/>
    <x v="0"/>
    <x v="3"/>
    <x v="15"/>
    <s v="Clothing payment"/>
    <s v="Cash"/>
    <x v="237"/>
    <n v="4000"/>
    <s v="SBI Salary A/c"/>
    <x v="1"/>
    <n v="-320.32000000000016"/>
    <n v="-3679.68"/>
    <s v="No"/>
  </r>
  <r>
    <s v="TXN-20596"/>
    <x v="113"/>
    <s v="May-2024"/>
    <x v="0"/>
    <x v="2"/>
    <x v="18"/>
    <s v="Electricity Bill payment"/>
    <s v="UPI"/>
    <x v="238"/>
    <n v="3000"/>
    <s v="Cash Wallet"/>
    <x v="0"/>
    <n v="-1383.56"/>
    <n v="-1616.44"/>
    <s v="No"/>
  </r>
  <r>
    <s v="TXN-20490"/>
    <x v="113"/>
    <s v="May-2024"/>
    <x v="0"/>
    <x v="10"/>
    <x v="27"/>
    <s v="Doctor Visit payment"/>
    <s v="UPI"/>
    <x v="239"/>
    <n v="2000"/>
    <s v="SBI Salary A/c"/>
    <x v="1"/>
    <n v="-437.05999999999995"/>
    <n v="-1562.94"/>
    <s v="No"/>
  </r>
  <r>
    <s v="TXN-20149"/>
    <x v="113"/>
    <s v="May-2024"/>
    <x v="1"/>
    <x v="7"/>
    <x v="7"/>
    <s v="Monthly Salary received"/>
    <s v="Debit Card"/>
    <x v="240"/>
    <n v="0"/>
    <s v="Cash Wallet"/>
    <x v="0"/>
    <s v="0"/>
    <n v="44198.92"/>
    <s v="Yes"/>
  </r>
  <r>
    <s v="TXN-20985"/>
    <x v="114"/>
    <s v="May-2024"/>
    <x v="0"/>
    <x v="5"/>
    <x v="5"/>
    <s v="House Rent payment"/>
    <s v="Cash"/>
    <x v="241"/>
    <n v="15000"/>
    <s v="SBI Salary A/c"/>
    <x v="0"/>
    <n v="-1268"/>
    <n v="-13732"/>
    <s v="No"/>
  </r>
  <r>
    <s v="TXN-20446"/>
    <x v="115"/>
    <s v="May-2024"/>
    <x v="0"/>
    <x v="11"/>
    <x v="28"/>
    <s v="Stocks payment"/>
    <s v="UPI"/>
    <x v="242"/>
    <n v="8000"/>
    <s v="Cash Wallet"/>
    <x v="0"/>
    <n v="1760.1800000000003"/>
    <n v="-9760.18"/>
    <s v="Yes"/>
  </r>
  <r>
    <s v="TXN-20277"/>
    <x v="115"/>
    <s v="May-2024"/>
    <x v="0"/>
    <x v="1"/>
    <x v="1"/>
    <s v="Movies payment"/>
    <s v="Credit Card"/>
    <x v="243"/>
    <n v="2500"/>
    <s v="Cash Wallet"/>
    <x v="1"/>
    <n v="-957.81"/>
    <n v="-1542.19"/>
    <s v="No"/>
  </r>
  <r>
    <s v="TXN-20597"/>
    <x v="115"/>
    <s v="May-2024"/>
    <x v="0"/>
    <x v="5"/>
    <x v="5"/>
    <s v="House Rent payment"/>
    <s v="UPI"/>
    <x v="244"/>
    <n v="15000"/>
    <s v="ICICI Credit Card"/>
    <x v="0"/>
    <n v="-6163.52"/>
    <n v="-8836.48"/>
    <s v="No"/>
  </r>
  <r>
    <s v="TXN-20223"/>
    <x v="115"/>
    <s v="May-2024"/>
    <x v="0"/>
    <x v="4"/>
    <x v="16"/>
    <s v="Local Market payment"/>
    <s v="Credit Card"/>
    <x v="245"/>
    <n v="6000"/>
    <s v="Cash Wallet"/>
    <x v="1"/>
    <n v="-284.22999999999956"/>
    <n v="-5715.77"/>
    <s v="No"/>
  </r>
  <r>
    <s v="TXN-20668"/>
    <x v="116"/>
    <s v="May-2024"/>
    <x v="0"/>
    <x v="11"/>
    <x v="19"/>
    <s v="Mutual Fund SIP payment"/>
    <s v="Credit Card"/>
    <x v="246"/>
    <n v="8000"/>
    <s v="ICICI Credit Card"/>
    <x v="0"/>
    <n v="-1742.96"/>
    <n v="-6257.04"/>
    <s v="No"/>
  </r>
  <r>
    <s v="TXN-20384"/>
    <x v="116"/>
    <s v="May-2024"/>
    <x v="1"/>
    <x v="7"/>
    <x v="7"/>
    <s v="Monthly Salary received"/>
    <s v="Net Banking"/>
    <x v="247"/>
    <n v="0"/>
    <s v="Cash Wallet"/>
    <x v="0"/>
    <s v="0"/>
    <n v="54993.62"/>
    <s v="Yes"/>
  </r>
  <r>
    <s v="TXN-20772"/>
    <x v="116"/>
    <s v="May-2024"/>
    <x v="1"/>
    <x v="9"/>
    <x v="25"/>
    <s v="Consulting Fee received"/>
    <s v="Debit Card"/>
    <x v="248"/>
    <n v="0"/>
    <s v="HDFC Savings"/>
    <x v="1"/>
    <s v="0"/>
    <n v="6320.91"/>
    <s v="Yes"/>
  </r>
  <r>
    <s v="TXN-20594"/>
    <x v="116"/>
    <s v="May-2024"/>
    <x v="0"/>
    <x v="4"/>
    <x v="16"/>
    <s v="Local Market payment"/>
    <s v="Net Banking"/>
    <x v="249"/>
    <n v="6000"/>
    <s v="HDFC Savings"/>
    <x v="1"/>
    <n v="-453.36999999999989"/>
    <n v="-5546.63"/>
    <s v="No"/>
  </r>
  <r>
    <s v="TXN-20835"/>
    <x v="116"/>
    <s v="May-2024"/>
    <x v="0"/>
    <x v="5"/>
    <x v="5"/>
    <s v="House Rent payment"/>
    <s v="Credit Card"/>
    <x v="250"/>
    <n v="15000"/>
    <s v="SBI Salary A/c"/>
    <x v="0"/>
    <n v="2566.8499999999985"/>
    <n v="-17566.849999999999"/>
    <s v="Yes"/>
  </r>
  <r>
    <s v="TXN-20363"/>
    <x v="117"/>
    <s v="May-2024"/>
    <x v="0"/>
    <x v="4"/>
    <x v="4"/>
    <s v="Supermarket payment"/>
    <s v="UPI"/>
    <x v="251"/>
    <n v="6000"/>
    <s v="Cash Wallet"/>
    <x v="1"/>
    <n v="-1197.1999999999998"/>
    <n v="-4802.8"/>
    <s v="No"/>
  </r>
  <r>
    <s v="TXN-20620"/>
    <x v="118"/>
    <s v="May-2024"/>
    <x v="0"/>
    <x v="2"/>
    <x v="30"/>
    <s v="Water Bill payment"/>
    <s v="Credit Card"/>
    <x v="252"/>
    <n v="3000"/>
    <s v="SBI Salary A/c"/>
    <x v="0"/>
    <n v="-872.31"/>
    <n v="-2127.69"/>
    <s v="No"/>
  </r>
  <r>
    <s v="TXN-20886"/>
    <x v="118"/>
    <s v="May-2024"/>
    <x v="0"/>
    <x v="4"/>
    <x v="4"/>
    <s v="Supermarket payment"/>
    <s v="UPI"/>
    <x v="253"/>
    <n v="6000"/>
    <s v="ICICI Credit Card"/>
    <x v="1"/>
    <n v="-401.96000000000004"/>
    <n v="-5598.04"/>
    <s v="No"/>
  </r>
  <r>
    <s v="TXN-20191"/>
    <x v="119"/>
    <s v="May-2024"/>
    <x v="0"/>
    <x v="1"/>
    <x v="22"/>
    <s v="Outing payment"/>
    <s v="Net Banking"/>
    <x v="254"/>
    <n v="2500"/>
    <s v="HDFC Savings"/>
    <x v="0"/>
    <n v="-20.440000000000055"/>
    <n v="-2479.56"/>
    <s v="No"/>
  </r>
  <r>
    <s v="TXN-20753"/>
    <x v="119"/>
    <s v="May-2024"/>
    <x v="0"/>
    <x v="2"/>
    <x v="18"/>
    <s v="Electricity Bill payment"/>
    <s v="Net Banking"/>
    <x v="255"/>
    <n v="3000"/>
    <s v="HDFC Savings"/>
    <x v="0"/>
    <n v="-566.19000000000005"/>
    <n v="-2433.81"/>
    <s v="No"/>
  </r>
  <r>
    <s v="TXN-20352"/>
    <x v="119"/>
    <s v="May-2024"/>
    <x v="0"/>
    <x v="3"/>
    <x v="3"/>
    <s v="Electronics payment"/>
    <s v="Credit Card"/>
    <x v="256"/>
    <n v="4000"/>
    <s v="Cash Wallet"/>
    <x v="1"/>
    <n v="-36.659999999999854"/>
    <n v="-3963.34"/>
    <s v="No"/>
  </r>
  <r>
    <s v="TXN-20762"/>
    <x v="120"/>
    <s v="May-2024"/>
    <x v="0"/>
    <x v="0"/>
    <x v="8"/>
    <s v="Home Loan EMI payment"/>
    <s v="UPI"/>
    <x v="257"/>
    <n v="12000"/>
    <s v="HDFC Savings"/>
    <x v="0"/>
    <n v="-1915.0699999999997"/>
    <n v="-10084.93"/>
    <s v="No"/>
  </r>
  <r>
    <s v="TXN-20759"/>
    <x v="120"/>
    <s v="May-2024"/>
    <x v="0"/>
    <x v="1"/>
    <x v="1"/>
    <s v="Movies payment"/>
    <s v="Net Banking"/>
    <x v="258"/>
    <n v="2500"/>
    <s v="Cash Wallet"/>
    <x v="1"/>
    <n v="-1232.8499999999999"/>
    <n v="-1267.1500000000001"/>
    <s v="No"/>
  </r>
  <r>
    <s v="TXN-20195"/>
    <x v="121"/>
    <s v="May-2024"/>
    <x v="0"/>
    <x v="2"/>
    <x v="30"/>
    <s v="Water Bill payment"/>
    <s v="Debit Card"/>
    <x v="259"/>
    <n v="3000"/>
    <s v="Cash Wallet"/>
    <x v="0"/>
    <n v="61.659999999999854"/>
    <n v="-3061.66"/>
    <s v="Yes"/>
  </r>
  <r>
    <s v="TXN-20769"/>
    <x v="122"/>
    <s v="May-2024"/>
    <x v="0"/>
    <x v="2"/>
    <x v="12"/>
    <s v="Mobile Recharge payment"/>
    <s v="Credit Card"/>
    <x v="260"/>
    <n v="3000"/>
    <s v="ICICI Credit Card"/>
    <x v="0"/>
    <n v="-1014.5999999999999"/>
    <n v="-1985.4"/>
    <s v="No"/>
  </r>
  <r>
    <s v="TXN-20004"/>
    <x v="123"/>
    <s v="Jun-2024"/>
    <x v="0"/>
    <x v="11"/>
    <x v="21"/>
    <s v="Fixed Deposit payment"/>
    <s v="UPI"/>
    <x v="261"/>
    <n v="8000"/>
    <s v="ICICI Credit Card"/>
    <x v="0"/>
    <n v="2080.83"/>
    <n v="-10080.83"/>
    <s v="Yes"/>
  </r>
  <r>
    <s v="TXN-20964"/>
    <x v="123"/>
    <s v="Jun-2024"/>
    <x v="0"/>
    <x v="5"/>
    <x v="5"/>
    <s v="House Rent payment"/>
    <s v="Cash"/>
    <x v="262"/>
    <n v="15000"/>
    <s v="SBI Salary A/c"/>
    <x v="0"/>
    <n v="1001.6299999999992"/>
    <n v="-16001.63"/>
    <s v="Yes"/>
  </r>
  <r>
    <s v="TXN-20927"/>
    <x v="124"/>
    <s v="Jun-2024"/>
    <x v="0"/>
    <x v="11"/>
    <x v="19"/>
    <s v="Mutual Fund SIP payment"/>
    <s v="UPI"/>
    <x v="263"/>
    <n v="8000"/>
    <s v="HDFC Savings"/>
    <x v="0"/>
    <n v="-3383.5"/>
    <n v="-4616.5"/>
    <s v="No"/>
  </r>
  <r>
    <s v="TXN-20540"/>
    <x v="125"/>
    <s v="Jun-2024"/>
    <x v="0"/>
    <x v="6"/>
    <x v="26"/>
    <s v="Fuel payment"/>
    <s v="Credit Card"/>
    <x v="264"/>
    <n v="3500"/>
    <s v="SBI Salary A/c"/>
    <x v="1"/>
    <n v="109.09999999999991"/>
    <n v="-3609.1"/>
    <s v="Yes"/>
  </r>
  <r>
    <s v="TXN-20677"/>
    <x v="126"/>
    <s v="Jun-2024"/>
    <x v="0"/>
    <x v="0"/>
    <x v="13"/>
    <s v="Car Loan EMI payment"/>
    <s v="Debit Card"/>
    <x v="265"/>
    <n v="12000"/>
    <s v="HDFC Savings"/>
    <x v="0"/>
    <n v="-4193.3599999999997"/>
    <n v="-7806.64"/>
    <s v="No"/>
  </r>
  <r>
    <s v="TXN-20255"/>
    <x v="126"/>
    <s v="Jun-2024"/>
    <x v="0"/>
    <x v="11"/>
    <x v="19"/>
    <s v="Mutual Fund SIP payment"/>
    <s v="Cash"/>
    <x v="266"/>
    <n v="8000"/>
    <s v="ICICI Credit Card"/>
    <x v="0"/>
    <n v="912.25"/>
    <n v="-8912.25"/>
    <s v="Yes"/>
  </r>
  <r>
    <s v="TXN-20430"/>
    <x v="127"/>
    <s v="Jun-2024"/>
    <x v="0"/>
    <x v="0"/>
    <x v="13"/>
    <s v="Car Loan EMI payment"/>
    <s v="Cash"/>
    <x v="267"/>
    <n v="12000"/>
    <s v="Cash Wallet"/>
    <x v="0"/>
    <n v="-3755.5200000000004"/>
    <n v="-8244.48"/>
    <s v="No"/>
  </r>
  <r>
    <s v="TXN-20854"/>
    <x v="127"/>
    <s v="Jun-2024"/>
    <x v="1"/>
    <x v="12"/>
    <x v="31"/>
    <s v="Dividend received"/>
    <s v="Credit Card"/>
    <x v="268"/>
    <n v="0"/>
    <s v="ICICI Credit Card"/>
    <x v="1"/>
    <s v="0"/>
    <n v="3203.9"/>
    <s v="Yes"/>
  </r>
  <r>
    <s v="TXN-20093"/>
    <x v="127"/>
    <s v="Jun-2024"/>
    <x v="0"/>
    <x v="1"/>
    <x v="1"/>
    <s v="Movies payment"/>
    <s v="Net Banking"/>
    <x v="269"/>
    <n v="2500"/>
    <s v="Cash Wallet"/>
    <x v="1"/>
    <n v="-153.78999999999996"/>
    <n v="-2346.21"/>
    <s v="No"/>
  </r>
  <r>
    <s v="TXN-20941"/>
    <x v="127"/>
    <s v="Jun-2024"/>
    <x v="0"/>
    <x v="6"/>
    <x v="11"/>
    <s v="Public Transport payment"/>
    <s v="Net Banking"/>
    <x v="270"/>
    <n v="3500"/>
    <s v="HDFC Savings"/>
    <x v="1"/>
    <n v="-578.73"/>
    <n v="-2921.27"/>
    <s v="No"/>
  </r>
  <r>
    <s v="TXN-20312"/>
    <x v="128"/>
    <s v="Jun-2024"/>
    <x v="0"/>
    <x v="10"/>
    <x v="27"/>
    <s v="Doctor Visit payment"/>
    <s v="UPI"/>
    <x v="271"/>
    <n v="2000"/>
    <s v="Cash Wallet"/>
    <x v="1"/>
    <n v="-820.73"/>
    <n v="-1179.27"/>
    <s v="No"/>
  </r>
  <r>
    <s v="TXN-20116"/>
    <x v="128"/>
    <s v="Jun-2024"/>
    <x v="0"/>
    <x v="2"/>
    <x v="30"/>
    <s v="Water Bill payment"/>
    <s v="Credit Card"/>
    <x v="272"/>
    <n v="3000"/>
    <s v="SBI Salary A/c"/>
    <x v="0"/>
    <n v="-882.92999999999984"/>
    <n v="-2117.0700000000002"/>
    <s v="No"/>
  </r>
  <r>
    <s v="TXN-20142"/>
    <x v="129"/>
    <s v="Jun-2024"/>
    <x v="1"/>
    <x v="7"/>
    <x v="7"/>
    <s v="Monthly Salary received"/>
    <s v="UPI"/>
    <x v="273"/>
    <n v="0"/>
    <s v="ICICI Credit Card"/>
    <x v="0"/>
    <s v="0"/>
    <n v="54856.55"/>
    <s v="Yes"/>
  </r>
  <r>
    <s v="TXN-20215"/>
    <x v="130"/>
    <s v="Jun-2024"/>
    <x v="1"/>
    <x v="7"/>
    <x v="7"/>
    <s v="Monthly Salary received"/>
    <s v="Credit Card"/>
    <x v="274"/>
    <n v="0"/>
    <s v="Cash Wallet"/>
    <x v="0"/>
    <s v="0"/>
    <n v="51599.44"/>
    <s v="Yes"/>
  </r>
  <r>
    <s v="TXN-20175"/>
    <x v="131"/>
    <s v="Jun-2024"/>
    <x v="0"/>
    <x v="11"/>
    <x v="28"/>
    <s v="Stocks payment"/>
    <s v="Credit Card"/>
    <x v="275"/>
    <n v="8000"/>
    <s v="HDFC Savings"/>
    <x v="0"/>
    <n v="251.93000000000029"/>
    <n v="-8251.93"/>
    <s v="Yes"/>
  </r>
  <r>
    <s v="TXN-20526"/>
    <x v="131"/>
    <s v="Jun-2024"/>
    <x v="0"/>
    <x v="5"/>
    <x v="5"/>
    <s v="House Rent payment"/>
    <s v="Net Banking"/>
    <x v="276"/>
    <n v="15000"/>
    <s v="ICICI Credit Card"/>
    <x v="0"/>
    <n v="-5941.98"/>
    <n v="-9058.02"/>
    <s v="No"/>
  </r>
  <r>
    <s v="TXN-20253"/>
    <x v="132"/>
    <s v="Jun-2024"/>
    <x v="0"/>
    <x v="5"/>
    <x v="5"/>
    <s v="House Rent payment"/>
    <s v="Cash"/>
    <x v="277"/>
    <n v="15000"/>
    <s v="HDFC Savings"/>
    <x v="0"/>
    <n v="-7487.75"/>
    <n v="-7512.25"/>
    <s v="No"/>
  </r>
  <r>
    <s v="TXN-20228"/>
    <x v="132"/>
    <s v="Jun-2024"/>
    <x v="0"/>
    <x v="10"/>
    <x v="17"/>
    <s v="Pharmacy payment"/>
    <s v="UPI"/>
    <x v="278"/>
    <n v="2000"/>
    <s v="Cash Wallet"/>
    <x v="1"/>
    <n v="-146.04999999999995"/>
    <n v="-1853.95"/>
    <s v="No"/>
  </r>
  <r>
    <s v="TXN-20224"/>
    <x v="133"/>
    <s v="Jun-2024"/>
    <x v="1"/>
    <x v="7"/>
    <x v="7"/>
    <s v="Monthly Salary received"/>
    <s v="Net Banking"/>
    <x v="279"/>
    <n v="0"/>
    <s v="SBI Salary A/c"/>
    <x v="0"/>
    <s v="0"/>
    <n v="52205.74"/>
    <s v="Yes"/>
  </r>
  <r>
    <s v="TXN-20704"/>
    <x v="133"/>
    <s v="Jun-2024"/>
    <x v="0"/>
    <x v="0"/>
    <x v="0"/>
    <s v="Personal Loan EMI payment"/>
    <s v="UPI"/>
    <x v="280"/>
    <n v="12000"/>
    <s v="ICICI Credit Card"/>
    <x v="0"/>
    <n v="-4120.18"/>
    <n v="-7879.82"/>
    <s v="No"/>
  </r>
  <r>
    <s v="TXN-20694"/>
    <x v="133"/>
    <s v="Jun-2024"/>
    <x v="0"/>
    <x v="4"/>
    <x v="16"/>
    <s v="Local Market payment"/>
    <s v="Net Banking"/>
    <x v="281"/>
    <n v="6000"/>
    <s v="Cash Wallet"/>
    <x v="1"/>
    <n v="1761.4399999999996"/>
    <n v="-7761.44"/>
    <s v="Yes"/>
  </r>
  <r>
    <s v="TXN-20492"/>
    <x v="134"/>
    <s v="Jun-2024"/>
    <x v="0"/>
    <x v="0"/>
    <x v="0"/>
    <s v="Personal Loan EMI payment"/>
    <s v="Cash"/>
    <x v="282"/>
    <n v="12000"/>
    <s v="ICICI Credit Card"/>
    <x v="0"/>
    <n v="-4617.22"/>
    <n v="-7382.78"/>
    <s v="No"/>
  </r>
  <r>
    <s v="TXN-20726"/>
    <x v="134"/>
    <s v="Jun-2024"/>
    <x v="0"/>
    <x v="4"/>
    <x v="16"/>
    <s v="Local Market payment"/>
    <s v="Net Banking"/>
    <x v="283"/>
    <n v="6000"/>
    <s v="Cash Wallet"/>
    <x v="0"/>
    <n v="-1195.08"/>
    <n v="-4804.92"/>
    <s v="No"/>
  </r>
  <r>
    <s v="TXN-20405"/>
    <x v="134"/>
    <s v="Jun-2024"/>
    <x v="0"/>
    <x v="11"/>
    <x v="21"/>
    <s v="Fixed Deposit payment"/>
    <s v="Credit Card"/>
    <x v="284"/>
    <n v="8000"/>
    <s v="HDFC Savings"/>
    <x v="0"/>
    <n v="-3708.0200000000004"/>
    <n v="-4291.9799999999996"/>
    <s v="No"/>
  </r>
  <r>
    <s v="TXN-20803"/>
    <x v="135"/>
    <s v="Jun-2024"/>
    <x v="1"/>
    <x v="7"/>
    <x v="7"/>
    <s v="Monthly Salary received"/>
    <s v="Debit Card"/>
    <x v="285"/>
    <n v="0"/>
    <s v="Cash Wallet"/>
    <x v="0"/>
    <s v="0"/>
    <n v="44058.400000000001"/>
    <s v="Yes"/>
  </r>
  <r>
    <s v="TXN-20376"/>
    <x v="135"/>
    <s v="Jun-2024"/>
    <x v="0"/>
    <x v="5"/>
    <x v="5"/>
    <s v="House Rent payment"/>
    <s v="UPI"/>
    <x v="286"/>
    <n v="15000"/>
    <s v="HDFC Savings"/>
    <x v="0"/>
    <n v="-5052.75"/>
    <n v="-9947.25"/>
    <s v="No"/>
  </r>
  <r>
    <s v="TXN-20671"/>
    <x v="136"/>
    <s v="Jun-2024"/>
    <x v="0"/>
    <x v="2"/>
    <x v="12"/>
    <s v="Mobile Recharge payment"/>
    <s v="Net Banking"/>
    <x v="287"/>
    <n v="3000"/>
    <s v="ICICI Credit Card"/>
    <x v="0"/>
    <n v="170.9699999999998"/>
    <n v="-3170.97"/>
    <s v="Yes"/>
  </r>
  <r>
    <s v="TXN-20305"/>
    <x v="137"/>
    <s v="Jun-2024"/>
    <x v="1"/>
    <x v="7"/>
    <x v="7"/>
    <s v="Monthly Salary received"/>
    <s v="Cash"/>
    <x v="288"/>
    <n v="0"/>
    <s v="SBI Salary A/c"/>
    <x v="0"/>
    <s v="0"/>
    <n v="54568.08"/>
    <s v="Yes"/>
  </r>
  <r>
    <s v="TXN-20980"/>
    <x v="137"/>
    <s v="Jun-2024"/>
    <x v="0"/>
    <x v="4"/>
    <x v="4"/>
    <s v="Supermarket payment"/>
    <s v="Credit Card"/>
    <x v="289"/>
    <n v="6000"/>
    <s v="ICICI Credit Card"/>
    <x v="0"/>
    <n v="556.27999999999975"/>
    <n v="-6556.28"/>
    <s v="Yes"/>
  </r>
  <r>
    <s v="TXN-20267"/>
    <x v="137"/>
    <s v="Jun-2024"/>
    <x v="0"/>
    <x v="5"/>
    <x v="5"/>
    <s v="House Rent payment"/>
    <s v="UPI"/>
    <x v="290"/>
    <n v="15000"/>
    <s v="SBI Salary A/c"/>
    <x v="0"/>
    <n v="-467.43000000000029"/>
    <n v="-14532.57"/>
    <s v="No"/>
  </r>
  <r>
    <s v="TXN-20396"/>
    <x v="138"/>
    <s v="Jun-2024"/>
    <x v="0"/>
    <x v="4"/>
    <x v="16"/>
    <s v="Local Market payment"/>
    <s v="UPI"/>
    <x v="291"/>
    <n v="6000"/>
    <s v="HDFC Savings"/>
    <x v="1"/>
    <n v="-1530.9399999999996"/>
    <n v="-4469.0600000000004"/>
    <s v="No"/>
  </r>
  <r>
    <s v="TXN-20673"/>
    <x v="139"/>
    <s v="Jun-2024"/>
    <x v="0"/>
    <x v="8"/>
    <x v="10"/>
    <s v="Books payment"/>
    <s v="UPI"/>
    <x v="292"/>
    <n v="2000"/>
    <s v="Cash Wallet"/>
    <x v="1"/>
    <n v="-175.06999999999994"/>
    <n v="-1824.93"/>
    <s v="No"/>
  </r>
  <r>
    <s v="TXN-20519"/>
    <x v="139"/>
    <s v="Jun-2024"/>
    <x v="0"/>
    <x v="5"/>
    <x v="5"/>
    <s v="House Rent payment"/>
    <s v="Credit Card"/>
    <x v="293"/>
    <n v="15000"/>
    <s v="Cash Wallet"/>
    <x v="0"/>
    <n v="-4496.2999999999993"/>
    <n v="-10503.7"/>
    <s v="No"/>
  </r>
  <r>
    <s v="TXN-20220"/>
    <x v="140"/>
    <s v="Jun-2024"/>
    <x v="0"/>
    <x v="3"/>
    <x v="15"/>
    <s v="Clothing payment"/>
    <s v="Cash"/>
    <x v="294"/>
    <n v="4000"/>
    <s v="HDFC Savings"/>
    <x v="1"/>
    <n v="-1280.8899999999999"/>
    <n v="-2719.11"/>
    <s v="No"/>
  </r>
  <r>
    <s v="TXN-20928"/>
    <x v="140"/>
    <s v="Jun-2024"/>
    <x v="0"/>
    <x v="5"/>
    <x v="5"/>
    <s v="House Rent payment"/>
    <s v="Cash"/>
    <x v="295"/>
    <n v="15000"/>
    <s v="ICICI Credit Card"/>
    <x v="0"/>
    <n v="-710.55999999999949"/>
    <n v="-14289.44"/>
    <s v="No"/>
  </r>
  <r>
    <s v="TXN-20945"/>
    <x v="141"/>
    <s v="Jun-2024"/>
    <x v="0"/>
    <x v="10"/>
    <x v="17"/>
    <s v="Pharmacy payment"/>
    <s v="UPI"/>
    <x v="296"/>
    <n v="2000"/>
    <s v="HDFC Savings"/>
    <x v="0"/>
    <n v="-64.720000000000027"/>
    <n v="-1935.28"/>
    <s v="No"/>
  </r>
  <r>
    <s v="TXN-20097"/>
    <x v="141"/>
    <s v="Jun-2024"/>
    <x v="0"/>
    <x v="4"/>
    <x v="4"/>
    <s v="Supermarket payment"/>
    <s v="UPI"/>
    <x v="297"/>
    <n v="6000"/>
    <s v="HDFC Savings"/>
    <x v="1"/>
    <n v="401.02999999999975"/>
    <n v="-6401.03"/>
    <s v="Yes"/>
  </r>
  <r>
    <s v="TXN-20049"/>
    <x v="142"/>
    <s v="Jun-2024"/>
    <x v="0"/>
    <x v="1"/>
    <x v="1"/>
    <s v="Movies payment"/>
    <s v="Net Banking"/>
    <x v="298"/>
    <n v="2500"/>
    <s v="HDFC Savings"/>
    <x v="1"/>
    <n v="-617.91000000000008"/>
    <n v="-1882.09"/>
    <s v="No"/>
  </r>
  <r>
    <s v="TXN-20531"/>
    <x v="142"/>
    <s v="Jun-2024"/>
    <x v="0"/>
    <x v="11"/>
    <x v="28"/>
    <s v="Stocks payment"/>
    <s v="Net Banking"/>
    <x v="299"/>
    <n v="8000"/>
    <s v="HDFC Savings"/>
    <x v="0"/>
    <n v="232.79999999999927"/>
    <n v="-8232.7999999999993"/>
    <s v="Yes"/>
  </r>
  <r>
    <s v="TXN-20138"/>
    <x v="143"/>
    <s v="Jun-2024"/>
    <x v="0"/>
    <x v="6"/>
    <x v="26"/>
    <s v="Fuel payment"/>
    <s v="UPI"/>
    <x v="300"/>
    <n v="3500"/>
    <s v="SBI Salary A/c"/>
    <x v="1"/>
    <n v="397.13999999999987"/>
    <n v="-3897.14"/>
    <s v="Yes"/>
  </r>
  <r>
    <s v="TXN-20001"/>
    <x v="143"/>
    <s v="Jun-2024"/>
    <x v="0"/>
    <x v="2"/>
    <x v="12"/>
    <s v="Mobile Recharge payment"/>
    <s v="Cash"/>
    <x v="301"/>
    <n v="3000"/>
    <s v="ICICI Credit Card"/>
    <x v="0"/>
    <n v="236.32000000000016"/>
    <n v="-3236.32"/>
    <s v="Yes"/>
  </r>
  <r>
    <s v="TXN-20674"/>
    <x v="144"/>
    <s v="Jun-2024"/>
    <x v="1"/>
    <x v="7"/>
    <x v="7"/>
    <s v="Monthly Salary received"/>
    <s v="Cash"/>
    <x v="302"/>
    <n v="0"/>
    <s v="Cash Wallet"/>
    <x v="0"/>
    <s v="0"/>
    <n v="52587.97"/>
    <s v="Yes"/>
  </r>
  <r>
    <s v="TXN-20802"/>
    <x v="144"/>
    <s v="Jun-2024"/>
    <x v="1"/>
    <x v="7"/>
    <x v="7"/>
    <s v="Monthly Salary received"/>
    <s v="UPI"/>
    <x v="303"/>
    <n v="0"/>
    <s v="Cash Wallet"/>
    <x v="0"/>
    <s v="0"/>
    <n v="53809.82"/>
    <s v="Yes"/>
  </r>
  <r>
    <s v="TXN-20366"/>
    <x v="144"/>
    <s v="Jun-2024"/>
    <x v="0"/>
    <x v="4"/>
    <x v="16"/>
    <s v="Local Market payment"/>
    <s v="Cash"/>
    <x v="304"/>
    <n v="6000"/>
    <s v="HDFC Savings"/>
    <x v="1"/>
    <n v="494.38000000000011"/>
    <n v="-6494.38"/>
    <s v="Yes"/>
  </r>
  <r>
    <s v="TXN-20279"/>
    <x v="145"/>
    <s v="Jun-2024"/>
    <x v="0"/>
    <x v="3"/>
    <x v="3"/>
    <s v="Electronics payment"/>
    <s v="Credit Card"/>
    <x v="305"/>
    <n v="4000"/>
    <s v="ICICI Credit Card"/>
    <x v="1"/>
    <n v="-1118.2600000000002"/>
    <n v="-2881.74"/>
    <s v="No"/>
  </r>
  <r>
    <s v="TXN-20089"/>
    <x v="145"/>
    <s v="Jun-2024"/>
    <x v="0"/>
    <x v="4"/>
    <x v="4"/>
    <s v="Supermarket payment"/>
    <s v="UPI"/>
    <x v="306"/>
    <n v="6000"/>
    <s v="Cash Wallet"/>
    <x v="1"/>
    <n v="899.05000000000018"/>
    <n v="-6899.05"/>
    <s v="Yes"/>
  </r>
  <r>
    <s v="TXN-20348"/>
    <x v="146"/>
    <s v="Jun-2024"/>
    <x v="0"/>
    <x v="11"/>
    <x v="21"/>
    <s v="Fixed Deposit payment"/>
    <s v="UPI"/>
    <x v="307"/>
    <n v="8000"/>
    <s v="HDFC Savings"/>
    <x v="0"/>
    <n v="-742.54"/>
    <n v="-7257.46"/>
    <s v="No"/>
  </r>
  <r>
    <s v="TXN-20521"/>
    <x v="146"/>
    <s v="Jun-2024"/>
    <x v="0"/>
    <x v="2"/>
    <x v="2"/>
    <s v="Internet Bill payment"/>
    <s v="Credit Card"/>
    <x v="308"/>
    <n v="3000"/>
    <s v="Cash Wallet"/>
    <x v="0"/>
    <n v="-1063.03"/>
    <n v="-1936.97"/>
    <s v="No"/>
  </r>
  <r>
    <s v="TXN-20300"/>
    <x v="147"/>
    <s v="Jun-2024"/>
    <x v="0"/>
    <x v="8"/>
    <x v="20"/>
    <s v="Course Fee payment"/>
    <s v="Credit Card"/>
    <x v="309"/>
    <n v="2000"/>
    <s v="HDFC Savings"/>
    <x v="1"/>
    <n v="-65.039999999999964"/>
    <n v="-1934.96"/>
    <s v="No"/>
  </r>
  <r>
    <s v="TXN-20435"/>
    <x v="147"/>
    <s v="Jun-2024"/>
    <x v="0"/>
    <x v="11"/>
    <x v="21"/>
    <s v="Fixed Deposit payment"/>
    <s v="UPI"/>
    <x v="310"/>
    <n v="8000"/>
    <s v="SBI Salary A/c"/>
    <x v="0"/>
    <n v="-2938.66"/>
    <n v="-5061.34"/>
    <s v="No"/>
  </r>
  <r>
    <s v="TXN-20937"/>
    <x v="148"/>
    <s v="Jun-2024"/>
    <x v="0"/>
    <x v="1"/>
    <x v="9"/>
    <s v="Streaming Subscription payment"/>
    <s v="Credit Card"/>
    <x v="311"/>
    <n v="2500"/>
    <s v="Cash Wallet"/>
    <x v="1"/>
    <n v="-202.46000000000004"/>
    <n v="-2297.54"/>
    <s v="No"/>
  </r>
  <r>
    <s v="TXN-20865"/>
    <x v="149"/>
    <s v="Jun-2024"/>
    <x v="1"/>
    <x v="9"/>
    <x v="14"/>
    <s v="Project Payment received"/>
    <s v="UPI"/>
    <x v="312"/>
    <n v="0"/>
    <s v="ICICI Credit Card"/>
    <x v="1"/>
    <s v="0"/>
    <n v="5939.88"/>
    <s v="Yes"/>
  </r>
  <r>
    <s v="TXN-20998"/>
    <x v="149"/>
    <s v="Jun-2024"/>
    <x v="0"/>
    <x v="8"/>
    <x v="10"/>
    <s v="Books payment"/>
    <s v="Cash"/>
    <x v="313"/>
    <n v="2000"/>
    <s v="Cash Wallet"/>
    <x v="1"/>
    <n v="462.32999999999993"/>
    <n v="-2462.33"/>
    <s v="Yes"/>
  </r>
  <r>
    <s v="TXN-20425"/>
    <x v="149"/>
    <s v="Jun-2024"/>
    <x v="0"/>
    <x v="2"/>
    <x v="18"/>
    <s v="Electricity Bill payment"/>
    <s v="UPI"/>
    <x v="314"/>
    <n v="3000"/>
    <s v="HDFC Savings"/>
    <x v="0"/>
    <n v="599.19999999999982"/>
    <n v="-3599.2"/>
    <s v="Yes"/>
  </r>
  <r>
    <s v="TXN-20237"/>
    <x v="150"/>
    <s v="Jul-2024"/>
    <x v="0"/>
    <x v="1"/>
    <x v="1"/>
    <s v="Movies payment"/>
    <s v="Net Banking"/>
    <x v="315"/>
    <n v="2500"/>
    <s v="SBI Salary A/c"/>
    <x v="1"/>
    <n v="-875.34999999999991"/>
    <n v="-1624.65"/>
    <s v="No"/>
  </r>
  <r>
    <s v="TXN-20123"/>
    <x v="150"/>
    <s v="Jul-2024"/>
    <x v="0"/>
    <x v="5"/>
    <x v="5"/>
    <s v="House Rent payment"/>
    <s v="Debit Card"/>
    <x v="316"/>
    <n v="15000"/>
    <s v="HDFC Savings"/>
    <x v="0"/>
    <n v="-6576.7099999999991"/>
    <n v="-8423.2900000000009"/>
    <s v="No"/>
  </r>
  <r>
    <s v="TXN-20785"/>
    <x v="151"/>
    <s v="Jul-2024"/>
    <x v="1"/>
    <x v="7"/>
    <x v="7"/>
    <s v="Monthly Salary received"/>
    <s v="UPI"/>
    <x v="317"/>
    <n v="0"/>
    <s v="ICICI Credit Card"/>
    <x v="0"/>
    <s v="0"/>
    <n v="48074.77"/>
    <s v="Yes"/>
  </r>
  <r>
    <s v="TXN-20847"/>
    <x v="151"/>
    <s v="Jul-2024"/>
    <x v="1"/>
    <x v="7"/>
    <x v="7"/>
    <s v="Monthly Salary received"/>
    <s v="Net Banking"/>
    <x v="318"/>
    <n v="0"/>
    <s v="Cash Wallet"/>
    <x v="0"/>
    <s v="0"/>
    <n v="51545.5"/>
    <s v="Yes"/>
  </r>
  <r>
    <s v="TXN-20696"/>
    <x v="152"/>
    <s v="Jul-2024"/>
    <x v="0"/>
    <x v="10"/>
    <x v="27"/>
    <s v="Doctor Visit payment"/>
    <s v="UPI"/>
    <x v="319"/>
    <n v="2000"/>
    <s v="Cash Wallet"/>
    <x v="1"/>
    <n v="511.13000000000011"/>
    <n v="-2511.13"/>
    <s v="Yes"/>
  </r>
  <r>
    <s v="TXN-20031"/>
    <x v="152"/>
    <s v="Jul-2024"/>
    <x v="0"/>
    <x v="0"/>
    <x v="0"/>
    <s v="Personal Loan EMI payment"/>
    <s v="UPI"/>
    <x v="320"/>
    <n v="12000"/>
    <s v="SBI Salary A/c"/>
    <x v="0"/>
    <n v="-5982.2"/>
    <n v="-6017.8"/>
    <s v="No"/>
  </r>
  <r>
    <s v="TXN-20558"/>
    <x v="152"/>
    <s v="Jul-2024"/>
    <x v="0"/>
    <x v="3"/>
    <x v="15"/>
    <s v="Clothing payment"/>
    <s v="Cash"/>
    <x v="321"/>
    <n v="4000"/>
    <s v="SBI Salary A/c"/>
    <x v="1"/>
    <n v="13.130000000000109"/>
    <n v="-4013.13"/>
    <s v="Yes"/>
  </r>
  <r>
    <s v="TXN-20030"/>
    <x v="152"/>
    <s v="Jul-2024"/>
    <x v="0"/>
    <x v="11"/>
    <x v="19"/>
    <s v="Mutual Fund SIP payment"/>
    <s v="Credit Card"/>
    <x v="322"/>
    <n v="8000"/>
    <s v="ICICI Credit Card"/>
    <x v="0"/>
    <n v="-2510.8999999999996"/>
    <n v="-5489.1"/>
    <s v="No"/>
  </r>
  <r>
    <s v="TXN-20511"/>
    <x v="153"/>
    <s v="Jul-2024"/>
    <x v="0"/>
    <x v="6"/>
    <x v="6"/>
    <s v="Cab/Taxi payment"/>
    <s v="UPI"/>
    <x v="323"/>
    <n v="3500"/>
    <s v="ICICI Credit Card"/>
    <x v="1"/>
    <n v="-335.59999999999991"/>
    <n v="-3164.4"/>
    <s v="No"/>
  </r>
  <r>
    <s v="TXN-20751"/>
    <x v="153"/>
    <s v="Jul-2024"/>
    <x v="1"/>
    <x v="9"/>
    <x v="25"/>
    <s v="Consulting Fee received"/>
    <s v="Credit Card"/>
    <x v="324"/>
    <n v="0"/>
    <s v="ICICI Credit Card"/>
    <x v="1"/>
    <s v="0"/>
    <n v="3629.18"/>
    <s v="Yes"/>
  </r>
  <r>
    <s v="TXN-20815"/>
    <x v="154"/>
    <s v="Jul-2024"/>
    <x v="0"/>
    <x v="11"/>
    <x v="21"/>
    <s v="Fixed Deposit payment"/>
    <s v="Net Banking"/>
    <x v="325"/>
    <n v="8000"/>
    <s v="ICICI Credit Card"/>
    <x v="0"/>
    <n v="-2667.8999999999996"/>
    <n v="-5332.1"/>
    <s v="No"/>
  </r>
  <r>
    <s v="TXN-20588"/>
    <x v="154"/>
    <s v="Jul-2024"/>
    <x v="0"/>
    <x v="8"/>
    <x v="20"/>
    <s v="Course Fee payment"/>
    <s v="Debit Card"/>
    <x v="326"/>
    <n v="2000"/>
    <s v="HDFC Savings"/>
    <x v="1"/>
    <n v="568.23"/>
    <n v="-2568.23"/>
    <s v="Yes"/>
  </r>
  <r>
    <s v="TXN-20651"/>
    <x v="154"/>
    <s v="Jul-2024"/>
    <x v="0"/>
    <x v="11"/>
    <x v="21"/>
    <s v="Fixed Deposit payment"/>
    <s v="Debit Card"/>
    <x v="327"/>
    <n v="8000"/>
    <s v="ICICI Credit Card"/>
    <x v="0"/>
    <n v="-2248.67"/>
    <n v="-5751.33"/>
    <s v="No"/>
  </r>
  <r>
    <s v="TXN-20050"/>
    <x v="155"/>
    <s v="Jul-2024"/>
    <x v="0"/>
    <x v="5"/>
    <x v="5"/>
    <s v="House Rent payment"/>
    <s v="UPI"/>
    <x v="328"/>
    <n v="15000"/>
    <s v="SBI Salary A/c"/>
    <x v="0"/>
    <n v="2423.3199999999997"/>
    <n v="-17423.32"/>
    <s v="Yes"/>
  </r>
  <r>
    <s v="TXN-20877"/>
    <x v="156"/>
    <s v="Jul-2024"/>
    <x v="0"/>
    <x v="3"/>
    <x v="15"/>
    <s v="Clothing payment"/>
    <s v="UPI"/>
    <x v="329"/>
    <n v="4000"/>
    <s v="SBI Salary A/c"/>
    <x v="1"/>
    <n v="-168.32000000000016"/>
    <n v="-3831.68"/>
    <s v="No"/>
  </r>
  <r>
    <s v="TXN-20575"/>
    <x v="156"/>
    <s v="Jul-2024"/>
    <x v="0"/>
    <x v="0"/>
    <x v="13"/>
    <s v="Car Loan EMI payment"/>
    <s v="UPI"/>
    <x v="330"/>
    <n v="12000"/>
    <s v="HDFC Savings"/>
    <x v="0"/>
    <n v="-2827.4400000000005"/>
    <n v="-9172.56"/>
    <s v="No"/>
  </r>
  <r>
    <s v="TXN-20410"/>
    <x v="156"/>
    <s v="Jul-2024"/>
    <x v="0"/>
    <x v="11"/>
    <x v="21"/>
    <s v="Fixed Deposit payment"/>
    <s v="Net Banking"/>
    <x v="331"/>
    <n v="8000"/>
    <s v="ICICI Credit Card"/>
    <x v="0"/>
    <n v="1322.1200000000008"/>
    <n v="-9322.1200000000008"/>
    <s v="Yes"/>
  </r>
  <r>
    <s v="TXN-20699"/>
    <x v="156"/>
    <s v="Jul-2024"/>
    <x v="0"/>
    <x v="1"/>
    <x v="1"/>
    <s v="Movies payment"/>
    <s v="UPI"/>
    <x v="332"/>
    <n v="2500"/>
    <s v="SBI Salary A/c"/>
    <x v="1"/>
    <n v="-990.34999999999991"/>
    <n v="-1509.65"/>
    <s v="No"/>
  </r>
  <r>
    <s v="TXN-20693"/>
    <x v="156"/>
    <s v="Jul-2024"/>
    <x v="0"/>
    <x v="2"/>
    <x v="12"/>
    <s v="Mobile Recharge payment"/>
    <s v="UPI"/>
    <x v="333"/>
    <n v="3000"/>
    <s v="Cash Wallet"/>
    <x v="0"/>
    <n v="-984.68000000000006"/>
    <n v="-2015.32"/>
    <s v="No"/>
  </r>
  <r>
    <s v="TXN-20311"/>
    <x v="157"/>
    <s v="Jul-2024"/>
    <x v="1"/>
    <x v="7"/>
    <x v="7"/>
    <s v="Monthly Salary received"/>
    <s v="Net Banking"/>
    <x v="334"/>
    <n v="0"/>
    <s v="HDFC Savings"/>
    <x v="0"/>
    <s v="0"/>
    <n v="53705.55"/>
    <s v="Yes"/>
  </r>
  <r>
    <s v="TXN-20920"/>
    <x v="157"/>
    <s v="Jul-2024"/>
    <x v="0"/>
    <x v="4"/>
    <x v="16"/>
    <s v="Local Market payment"/>
    <s v="Credit Card"/>
    <x v="335"/>
    <n v="6000"/>
    <s v="Cash Wallet"/>
    <x v="0"/>
    <n v="-1584.5299999999997"/>
    <n v="-4415.47"/>
    <s v="No"/>
  </r>
  <r>
    <s v="TXN-20622"/>
    <x v="158"/>
    <s v="Jul-2024"/>
    <x v="1"/>
    <x v="7"/>
    <x v="7"/>
    <s v="Monthly Salary received"/>
    <s v="Credit Card"/>
    <x v="336"/>
    <n v="0"/>
    <s v="Cash Wallet"/>
    <x v="0"/>
    <s v="0"/>
    <n v="51164.23"/>
    <s v="Yes"/>
  </r>
  <r>
    <s v="TXN-20270"/>
    <x v="159"/>
    <s v="Jul-2024"/>
    <x v="0"/>
    <x v="3"/>
    <x v="23"/>
    <s v="Online Shopping payment"/>
    <s v="Debit Card"/>
    <x v="337"/>
    <n v="4000"/>
    <s v="HDFC Savings"/>
    <x v="1"/>
    <n v="-1062.75"/>
    <n v="-2937.25"/>
    <s v="No"/>
  </r>
  <r>
    <s v="TXN-20860"/>
    <x v="159"/>
    <s v="Jul-2024"/>
    <x v="0"/>
    <x v="4"/>
    <x v="16"/>
    <s v="Local Market payment"/>
    <s v="UPI"/>
    <x v="338"/>
    <n v="6000"/>
    <s v="SBI Salary A/c"/>
    <x v="1"/>
    <n v="703.30000000000018"/>
    <n v="-6703.3"/>
    <s v="Yes"/>
  </r>
  <r>
    <s v="TXN-20474"/>
    <x v="159"/>
    <s v="Jul-2024"/>
    <x v="0"/>
    <x v="8"/>
    <x v="20"/>
    <s v="Course Fee payment"/>
    <s v="UPI"/>
    <x v="339"/>
    <n v="2000"/>
    <s v="Cash Wallet"/>
    <x v="1"/>
    <n v="492.34999999999991"/>
    <n v="-2492.35"/>
    <s v="Yes"/>
  </r>
  <r>
    <s v="TXN-20039"/>
    <x v="160"/>
    <s v="Jul-2024"/>
    <x v="1"/>
    <x v="9"/>
    <x v="14"/>
    <s v="Project Payment received"/>
    <s v="UPI"/>
    <x v="340"/>
    <n v="0"/>
    <s v="ICICI Credit Card"/>
    <x v="0"/>
    <s v="0"/>
    <n v="10536.69"/>
    <s v="Yes"/>
  </r>
  <r>
    <s v="TXN-20356"/>
    <x v="161"/>
    <s v="Jul-2024"/>
    <x v="0"/>
    <x v="2"/>
    <x v="12"/>
    <s v="Mobile Recharge payment"/>
    <s v="Debit Card"/>
    <x v="341"/>
    <n v="3000"/>
    <s v="HDFC Savings"/>
    <x v="0"/>
    <n v="-65.590000000000146"/>
    <n v="-2934.41"/>
    <s v="No"/>
  </r>
  <r>
    <s v="TXN-20995"/>
    <x v="161"/>
    <s v="Jul-2024"/>
    <x v="0"/>
    <x v="4"/>
    <x v="16"/>
    <s v="Local Market payment"/>
    <s v="Net Banking"/>
    <x v="342"/>
    <n v="6000"/>
    <s v="Cash Wallet"/>
    <x v="1"/>
    <n v="-178.55000000000018"/>
    <n v="-5821.45"/>
    <s v="No"/>
  </r>
  <r>
    <s v="TXN-20043"/>
    <x v="161"/>
    <s v="Jul-2024"/>
    <x v="0"/>
    <x v="0"/>
    <x v="0"/>
    <s v="Personal Loan EMI payment"/>
    <s v="UPI"/>
    <x v="343"/>
    <n v="12000"/>
    <s v="ICICI Credit Card"/>
    <x v="0"/>
    <n v="-4981.83"/>
    <n v="-7018.17"/>
    <s v="No"/>
  </r>
  <r>
    <s v="TXN-20577"/>
    <x v="162"/>
    <s v="Jul-2024"/>
    <x v="0"/>
    <x v="4"/>
    <x v="16"/>
    <s v="Local Market payment"/>
    <s v="UPI"/>
    <x v="344"/>
    <n v="6000"/>
    <s v="ICICI Credit Card"/>
    <x v="1"/>
    <n v="727.85000000000036"/>
    <n v="-6727.85"/>
    <s v="Yes"/>
  </r>
  <r>
    <s v="TXN-20716"/>
    <x v="163"/>
    <s v="Jul-2024"/>
    <x v="0"/>
    <x v="1"/>
    <x v="9"/>
    <s v="Streaming Subscription payment"/>
    <s v="Debit Card"/>
    <x v="345"/>
    <n v="2500"/>
    <s v="HDFC Savings"/>
    <x v="0"/>
    <n v="142.2199999999998"/>
    <n v="-2642.22"/>
    <s v="Yes"/>
  </r>
  <r>
    <s v="TXN-20576"/>
    <x v="163"/>
    <s v="Jul-2024"/>
    <x v="0"/>
    <x v="5"/>
    <x v="5"/>
    <s v="House Rent payment"/>
    <s v="Cash"/>
    <x v="346"/>
    <n v="15000"/>
    <s v="Cash Wallet"/>
    <x v="0"/>
    <n v="-3263.0400000000009"/>
    <n v="-11736.96"/>
    <s v="No"/>
  </r>
  <r>
    <s v="TXN-20035"/>
    <x v="163"/>
    <s v="Jul-2024"/>
    <x v="0"/>
    <x v="6"/>
    <x v="6"/>
    <s v="Cab/Taxi payment"/>
    <s v="Credit Card"/>
    <x v="347"/>
    <n v="3500"/>
    <s v="HDFC Savings"/>
    <x v="1"/>
    <n v="-455.63000000000011"/>
    <n v="-3044.37"/>
    <s v="No"/>
  </r>
  <r>
    <s v="TXN-20296"/>
    <x v="164"/>
    <s v="Jul-2024"/>
    <x v="0"/>
    <x v="11"/>
    <x v="19"/>
    <s v="Mutual Fund SIP payment"/>
    <s v="Debit Card"/>
    <x v="348"/>
    <n v="8000"/>
    <s v="Cash Wallet"/>
    <x v="0"/>
    <n v="1082.3799999999992"/>
    <n v="-9082.3799999999992"/>
    <s v="Yes"/>
  </r>
  <r>
    <s v="TXN-20994"/>
    <x v="164"/>
    <s v="Jul-2024"/>
    <x v="0"/>
    <x v="2"/>
    <x v="30"/>
    <s v="Water Bill payment"/>
    <s v="UPI"/>
    <x v="349"/>
    <n v="3000"/>
    <s v="HDFC Savings"/>
    <x v="0"/>
    <n v="-1022.8399999999999"/>
    <n v="-1977.16"/>
    <s v="No"/>
  </r>
  <r>
    <s v="TXN-20936"/>
    <x v="164"/>
    <s v="Jul-2024"/>
    <x v="0"/>
    <x v="10"/>
    <x v="27"/>
    <s v="Doctor Visit payment"/>
    <s v="UPI"/>
    <x v="350"/>
    <n v="2000"/>
    <s v="ICICI Credit Card"/>
    <x v="1"/>
    <n v="420.26000000000022"/>
    <n v="-2420.2600000000002"/>
    <s v="Yes"/>
  </r>
  <r>
    <s v="TXN-20252"/>
    <x v="165"/>
    <s v="Jul-2024"/>
    <x v="0"/>
    <x v="10"/>
    <x v="17"/>
    <s v="Pharmacy payment"/>
    <s v="Credit Card"/>
    <x v="351"/>
    <n v="2000"/>
    <s v="Cash Wallet"/>
    <x v="1"/>
    <n v="170.05000000000018"/>
    <n v="-2170.0500000000002"/>
    <s v="Yes"/>
  </r>
  <r>
    <s v="TXN-20800"/>
    <x v="166"/>
    <s v="Jul-2024"/>
    <x v="0"/>
    <x v="6"/>
    <x v="26"/>
    <s v="Fuel payment"/>
    <s v="Net Banking"/>
    <x v="352"/>
    <n v="3500"/>
    <s v="HDFC Savings"/>
    <x v="1"/>
    <n v="-462.44000000000005"/>
    <n v="-3037.56"/>
    <s v="No"/>
  </r>
  <r>
    <s v="TXN-20335"/>
    <x v="166"/>
    <s v="Jul-2024"/>
    <x v="0"/>
    <x v="6"/>
    <x v="11"/>
    <s v="Public Transport payment"/>
    <s v="Net Banking"/>
    <x v="353"/>
    <n v="3500"/>
    <s v="ICICI Credit Card"/>
    <x v="1"/>
    <n v="-1201.5700000000002"/>
    <n v="-2298.4299999999998"/>
    <s v="No"/>
  </r>
  <r>
    <s v="TXN-20643"/>
    <x v="166"/>
    <s v="Jul-2024"/>
    <x v="0"/>
    <x v="5"/>
    <x v="5"/>
    <s v="House Rent payment"/>
    <s v="Credit Card"/>
    <x v="354"/>
    <n v="15000"/>
    <s v="ICICI Credit Card"/>
    <x v="0"/>
    <n v="-112.20000000000073"/>
    <n v="-14887.8"/>
    <s v="No"/>
  </r>
  <r>
    <s v="TXN-20087"/>
    <x v="167"/>
    <s v="Jul-2024"/>
    <x v="1"/>
    <x v="9"/>
    <x v="25"/>
    <s v="Consulting Fee received"/>
    <s v="UPI"/>
    <x v="355"/>
    <n v="0"/>
    <s v="ICICI Credit Card"/>
    <x v="1"/>
    <s v="0"/>
    <n v="8499.1"/>
    <s v="Yes"/>
  </r>
  <r>
    <s v="TXN-20636"/>
    <x v="168"/>
    <s v="Jul-2024"/>
    <x v="0"/>
    <x v="4"/>
    <x v="4"/>
    <s v="Supermarket payment"/>
    <s v="UPI"/>
    <x v="356"/>
    <n v="6000"/>
    <s v="ICICI Credit Card"/>
    <x v="1"/>
    <n v="1616.1400000000003"/>
    <n v="-7616.14"/>
    <s v="Yes"/>
  </r>
  <r>
    <s v="TXN-20520"/>
    <x v="169"/>
    <s v="Jul-2024"/>
    <x v="1"/>
    <x v="12"/>
    <x v="29"/>
    <s v="Interest Income received"/>
    <s v="Credit Card"/>
    <x v="357"/>
    <n v="0"/>
    <s v="HDFC Savings"/>
    <x v="1"/>
    <s v="0"/>
    <n v="3466.55"/>
    <s v="Yes"/>
  </r>
  <r>
    <s v="TXN-20532"/>
    <x v="169"/>
    <s v="Jul-2024"/>
    <x v="0"/>
    <x v="4"/>
    <x v="4"/>
    <s v="Supermarket payment"/>
    <s v="Cash"/>
    <x v="358"/>
    <n v="6000"/>
    <s v="HDFC Savings"/>
    <x v="1"/>
    <n v="-1895.2799999999997"/>
    <n v="-4104.72"/>
    <s v="No"/>
  </r>
  <r>
    <s v="TXN-20057"/>
    <x v="170"/>
    <s v="Jul-2024"/>
    <x v="1"/>
    <x v="7"/>
    <x v="7"/>
    <s v="Monthly Salary received"/>
    <s v="Cash"/>
    <x v="359"/>
    <n v="0"/>
    <s v="ICICI Credit Card"/>
    <x v="0"/>
    <s v="0"/>
    <n v="40076.080000000002"/>
    <s v="Yes"/>
  </r>
  <r>
    <s v="TXN-20501"/>
    <x v="170"/>
    <s v="Jul-2024"/>
    <x v="0"/>
    <x v="5"/>
    <x v="5"/>
    <s v="House Rent payment"/>
    <s v="UPI"/>
    <x v="360"/>
    <n v="15000"/>
    <s v="Cash Wallet"/>
    <x v="0"/>
    <n v="-1947.8899999999994"/>
    <n v="-13052.11"/>
    <s v="No"/>
  </r>
  <r>
    <s v="TXN-20899"/>
    <x v="170"/>
    <s v="Jul-2024"/>
    <x v="0"/>
    <x v="3"/>
    <x v="23"/>
    <s v="Online Shopping payment"/>
    <s v="Credit Card"/>
    <x v="361"/>
    <n v="4000"/>
    <s v="Cash Wallet"/>
    <x v="1"/>
    <n v="267.4399999999996"/>
    <n v="-4267.4399999999996"/>
    <s v="Yes"/>
  </r>
  <r>
    <s v="TXN-20853"/>
    <x v="171"/>
    <s v="Jul-2024"/>
    <x v="0"/>
    <x v="4"/>
    <x v="4"/>
    <s v="Supermarket payment"/>
    <s v="Net Banking"/>
    <x v="362"/>
    <n v="6000"/>
    <s v="HDFC Savings"/>
    <x v="1"/>
    <n v="904.61999999999989"/>
    <n v="-6904.62"/>
    <s v="Yes"/>
  </r>
  <r>
    <s v="TXN-20584"/>
    <x v="171"/>
    <s v="Jul-2024"/>
    <x v="1"/>
    <x v="7"/>
    <x v="7"/>
    <s v="Monthly Salary received"/>
    <s v="UPI"/>
    <x v="363"/>
    <n v="0"/>
    <s v="HDFC Savings"/>
    <x v="0"/>
    <s v="0"/>
    <n v="40356.18"/>
    <s v="Yes"/>
  </r>
  <r>
    <s v="TXN-20911"/>
    <x v="171"/>
    <s v="Jul-2024"/>
    <x v="0"/>
    <x v="2"/>
    <x v="12"/>
    <s v="Mobile Recharge payment"/>
    <s v="UPI"/>
    <x v="364"/>
    <n v="3000"/>
    <s v="Cash Wallet"/>
    <x v="0"/>
    <n v="-15.699999999999818"/>
    <n v="-2984.3"/>
    <s v="No"/>
  </r>
  <r>
    <s v="TXN-20198"/>
    <x v="171"/>
    <s v="Jul-2024"/>
    <x v="1"/>
    <x v="7"/>
    <x v="7"/>
    <s v="Monthly Salary received"/>
    <s v="Net Banking"/>
    <x v="365"/>
    <n v="0"/>
    <s v="HDFC Savings"/>
    <x v="0"/>
    <s v="0"/>
    <n v="54551.16"/>
    <s v="Yes"/>
  </r>
  <r>
    <s v="TXN-20989"/>
    <x v="171"/>
    <s v="Jul-2024"/>
    <x v="0"/>
    <x v="8"/>
    <x v="10"/>
    <s v="Books payment"/>
    <s v="Credit Card"/>
    <x v="366"/>
    <n v="2000"/>
    <s v="HDFC Savings"/>
    <x v="1"/>
    <n v="502.11000000000013"/>
    <n v="-2502.11"/>
    <s v="Yes"/>
  </r>
  <r>
    <s v="TXN-20343"/>
    <x v="171"/>
    <s v="Jul-2024"/>
    <x v="0"/>
    <x v="11"/>
    <x v="28"/>
    <s v="Stocks payment"/>
    <s v="UPI"/>
    <x v="367"/>
    <n v="8000"/>
    <s v="SBI Salary A/c"/>
    <x v="0"/>
    <n v="1195.9899999999998"/>
    <n v="-9195.99"/>
    <s v="Yes"/>
  </r>
  <r>
    <s v="TXN-20481"/>
    <x v="172"/>
    <s v="Jul-2024"/>
    <x v="0"/>
    <x v="8"/>
    <x v="10"/>
    <s v="Books payment"/>
    <s v="Debit Card"/>
    <x v="368"/>
    <n v="2000"/>
    <s v="Cash Wallet"/>
    <x v="1"/>
    <n v="-322.08999999999992"/>
    <n v="-1677.91"/>
    <s v="No"/>
  </r>
  <r>
    <s v="TXN-20127"/>
    <x v="173"/>
    <s v="Jul-2024"/>
    <x v="0"/>
    <x v="2"/>
    <x v="30"/>
    <s v="Water Bill payment"/>
    <s v="Net Banking"/>
    <x v="369"/>
    <n v="3000"/>
    <s v="ICICI Credit Card"/>
    <x v="0"/>
    <n v="752.27"/>
    <n v="-3752.27"/>
    <s v="Yes"/>
  </r>
  <r>
    <s v="TXN-20616"/>
    <x v="173"/>
    <s v="Jul-2024"/>
    <x v="0"/>
    <x v="4"/>
    <x v="4"/>
    <s v="Supermarket payment"/>
    <s v="Credit Card"/>
    <x v="370"/>
    <n v="6000"/>
    <s v="SBI Salary A/c"/>
    <x v="1"/>
    <n v="-1378.2600000000002"/>
    <n v="-4621.74"/>
    <s v="No"/>
  </r>
  <r>
    <s v="TXN-20172"/>
    <x v="173"/>
    <s v="Jul-2024"/>
    <x v="0"/>
    <x v="0"/>
    <x v="13"/>
    <s v="Car Loan EMI payment"/>
    <s v="Net Banking"/>
    <x v="371"/>
    <n v="12000"/>
    <s v="Cash Wallet"/>
    <x v="0"/>
    <n v="2197.91"/>
    <n v="-14197.91"/>
    <s v="Yes"/>
  </r>
  <r>
    <s v="TXN-20754"/>
    <x v="173"/>
    <s v="Jul-2024"/>
    <x v="0"/>
    <x v="1"/>
    <x v="1"/>
    <s v="Movies payment"/>
    <s v="UPI"/>
    <x v="372"/>
    <n v="2500"/>
    <s v="ICICI Credit Card"/>
    <x v="1"/>
    <n v="-823.02"/>
    <n v="-1676.98"/>
    <s v="No"/>
  </r>
  <r>
    <s v="TXN-20834"/>
    <x v="174"/>
    <s v="Jul-2024"/>
    <x v="0"/>
    <x v="2"/>
    <x v="12"/>
    <s v="Mobile Recharge payment"/>
    <s v="UPI"/>
    <x v="373"/>
    <n v="3000"/>
    <s v="SBI Salary A/c"/>
    <x v="0"/>
    <n v="816.32999999999993"/>
    <n v="-3816.33"/>
    <s v="Yes"/>
  </r>
  <r>
    <s v="TXN-20644"/>
    <x v="174"/>
    <s v="Jul-2024"/>
    <x v="0"/>
    <x v="1"/>
    <x v="1"/>
    <s v="Movies payment"/>
    <s v="Credit Card"/>
    <x v="374"/>
    <n v="2500"/>
    <s v="Cash Wallet"/>
    <x v="1"/>
    <n v="-292.15000000000009"/>
    <n v="-2207.85"/>
    <s v="No"/>
  </r>
  <r>
    <s v="TXN-20413"/>
    <x v="175"/>
    <s v="Aug-2024"/>
    <x v="0"/>
    <x v="0"/>
    <x v="8"/>
    <s v="Home Loan EMI payment"/>
    <s v="Credit Card"/>
    <x v="375"/>
    <n v="12000"/>
    <s v="SBI Salary A/c"/>
    <x v="0"/>
    <n v="-2030.08"/>
    <n v="-9969.92"/>
    <s v="No"/>
  </r>
  <r>
    <s v="TXN-20051"/>
    <x v="175"/>
    <s v="Aug-2024"/>
    <x v="1"/>
    <x v="7"/>
    <x v="7"/>
    <s v="Monthly Salary received"/>
    <s v="Debit Card"/>
    <x v="376"/>
    <n v="0"/>
    <s v="ICICI Credit Card"/>
    <x v="0"/>
    <s v="0"/>
    <n v="54291.27"/>
    <s v="Yes"/>
  </r>
  <r>
    <s v="TXN-20974"/>
    <x v="176"/>
    <s v="Aug-2024"/>
    <x v="0"/>
    <x v="1"/>
    <x v="22"/>
    <s v="Outing payment"/>
    <s v="Cash"/>
    <x v="377"/>
    <n v="2500"/>
    <s v="Cash Wallet"/>
    <x v="0"/>
    <n v="-1022.6700000000001"/>
    <n v="-1477.33"/>
    <s v="No"/>
  </r>
  <r>
    <s v="TXN-20427"/>
    <x v="177"/>
    <s v="Aug-2024"/>
    <x v="0"/>
    <x v="3"/>
    <x v="15"/>
    <s v="Clothing payment"/>
    <s v="Credit Card"/>
    <x v="378"/>
    <n v="4000"/>
    <s v="SBI Salary A/c"/>
    <x v="1"/>
    <n v="475.14999999999964"/>
    <n v="-4475.1499999999996"/>
    <s v="Yes"/>
  </r>
  <r>
    <s v="TXN-20169"/>
    <x v="177"/>
    <s v="Aug-2024"/>
    <x v="0"/>
    <x v="3"/>
    <x v="23"/>
    <s v="Online Shopping payment"/>
    <s v="Debit Card"/>
    <x v="379"/>
    <n v="4000"/>
    <s v="SBI Salary A/c"/>
    <x v="0"/>
    <n v="1105.1999999999998"/>
    <n v="-5105.2"/>
    <s v="Yes"/>
  </r>
  <r>
    <s v="TXN-20157"/>
    <x v="178"/>
    <s v="Aug-2024"/>
    <x v="0"/>
    <x v="4"/>
    <x v="16"/>
    <s v="Local Market payment"/>
    <s v="Credit Card"/>
    <x v="380"/>
    <n v="6000"/>
    <s v="Cash Wallet"/>
    <x v="1"/>
    <n v="630.46"/>
    <n v="-6630.46"/>
    <s v="Yes"/>
  </r>
  <r>
    <s v="TXN-20849"/>
    <x v="178"/>
    <s v="Aug-2024"/>
    <x v="0"/>
    <x v="6"/>
    <x v="26"/>
    <s v="Fuel payment"/>
    <s v="Credit Card"/>
    <x v="381"/>
    <n v="3500"/>
    <s v="SBI Salary A/c"/>
    <x v="1"/>
    <n v="-1578.66"/>
    <n v="-1921.34"/>
    <s v="No"/>
  </r>
  <r>
    <s v="TXN-20271"/>
    <x v="179"/>
    <s v="Aug-2024"/>
    <x v="0"/>
    <x v="11"/>
    <x v="21"/>
    <s v="Fixed Deposit payment"/>
    <s v="Credit Card"/>
    <x v="382"/>
    <n v="8000"/>
    <s v="HDFC Savings"/>
    <x v="0"/>
    <n v="-2020.5200000000004"/>
    <n v="-5979.48"/>
    <s v="No"/>
  </r>
  <r>
    <s v="TXN-20919"/>
    <x v="179"/>
    <s v="Aug-2024"/>
    <x v="0"/>
    <x v="2"/>
    <x v="12"/>
    <s v="Mobile Recharge payment"/>
    <s v="Net Banking"/>
    <x v="383"/>
    <n v="3000"/>
    <s v="SBI Salary A/c"/>
    <x v="0"/>
    <n v="-4.6300000000001091"/>
    <n v="-2995.37"/>
    <s v="No"/>
  </r>
  <r>
    <s v="TXN-20876"/>
    <x v="180"/>
    <s v="Aug-2024"/>
    <x v="0"/>
    <x v="1"/>
    <x v="22"/>
    <s v="Outing payment"/>
    <s v="UPI"/>
    <x v="384"/>
    <n v="2500"/>
    <s v="ICICI Credit Card"/>
    <x v="1"/>
    <n v="91.880000000000109"/>
    <n v="-2591.88"/>
    <s v="Yes"/>
  </r>
  <r>
    <s v="TXN-20882"/>
    <x v="180"/>
    <s v="Aug-2024"/>
    <x v="0"/>
    <x v="11"/>
    <x v="21"/>
    <s v="Fixed Deposit payment"/>
    <s v="UPI"/>
    <x v="385"/>
    <n v="8000"/>
    <s v="SBI Salary A/c"/>
    <x v="0"/>
    <n v="-2617.2399999999998"/>
    <n v="-5382.76"/>
    <s v="No"/>
  </r>
  <r>
    <s v="TXN-20094"/>
    <x v="180"/>
    <s v="Aug-2024"/>
    <x v="0"/>
    <x v="5"/>
    <x v="5"/>
    <s v="House Rent payment"/>
    <s v="Credit Card"/>
    <x v="386"/>
    <n v="15000"/>
    <s v="HDFC Savings"/>
    <x v="0"/>
    <n v="685.45000000000073"/>
    <n v="-15685.45"/>
    <s v="Yes"/>
  </r>
  <r>
    <s v="TXN-20070"/>
    <x v="180"/>
    <s v="Aug-2024"/>
    <x v="0"/>
    <x v="0"/>
    <x v="0"/>
    <s v="Personal Loan EMI payment"/>
    <s v="UPI"/>
    <x v="387"/>
    <n v="12000"/>
    <s v="Cash Wallet"/>
    <x v="0"/>
    <n v="1945.92"/>
    <n v="-13945.92"/>
    <s v="Yes"/>
  </r>
  <r>
    <s v="TXN-20280"/>
    <x v="180"/>
    <s v="Aug-2024"/>
    <x v="1"/>
    <x v="7"/>
    <x v="7"/>
    <s v="Monthly Salary received"/>
    <s v="Cash"/>
    <x v="388"/>
    <n v="0"/>
    <s v="HDFC Savings"/>
    <x v="0"/>
    <s v="0"/>
    <n v="53918.7"/>
    <s v="Yes"/>
  </r>
  <r>
    <s v="TXN-20614"/>
    <x v="181"/>
    <s v="Aug-2024"/>
    <x v="0"/>
    <x v="6"/>
    <x v="6"/>
    <s v="Cab/Taxi payment"/>
    <s v="Credit Card"/>
    <x v="389"/>
    <n v="3500"/>
    <s v="SBI Salary A/c"/>
    <x v="1"/>
    <n v="-1353.75"/>
    <n v="-2146.25"/>
    <s v="No"/>
  </r>
  <r>
    <s v="TXN-20581"/>
    <x v="181"/>
    <s v="Aug-2024"/>
    <x v="0"/>
    <x v="4"/>
    <x v="16"/>
    <s v="Local Market payment"/>
    <s v="UPI"/>
    <x v="390"/>
    <n v="6000"/>
    <s v="SBI Salary A/c"/>
    <x v="1"/>
    <n v="-1906.02"/>
    <n v="-4093.98"/>
    <s v="No"/>
  </r>
  <r>
    <s v="TXN-20894"/>
    <x v="182"/>
    <s v="Aug-2024"/>
    <x v="0"/>
    <x v="0"/>
    <x v="8"/>
    <s v="Home Loan EMI payment"/>
    <s v="UPI"/>
    <x v="391"/>
    <n v="12000"/>
    <s v="HDFC Savings"/>
    <x v="0"/>
    <n v="-5943.35"/>
    <n v="-6056.65"/>
    <s v="No"/>
  </r>
  <r>
    <s v="TXN-20580"/>
    <x v="183"/>
    <s v="Aug-2024"/>
    <x v="1"/>
    <x v="12"/>
    <x v="31"/>
    <s v="Dividend received"/>
    <s v="Net Banking"/>
    <x v="392"/>
    <n v="0"/>
    <s v="SBI Salary A/c"/>
    <x v="1"/>
    <s v="0"/>
    <n v="4006.89"/>
    <s v="Yes"/>
  </r>
  <r>
    <s v="TXN-20328"/>
    <x v="183"/>
    <s v="Aug-2024"/>
    <x v="0"/>
    <x v="11"/>
    <x v="21"/>
    <s v="Fixed Deposit payment"/>
    <s v="Net Banking"/>
    <x v="393"/>
    <n v="8000"/>
    <s v="ICICI Credit Card"/>
    <x v="0"/>
    <n v="-2890.5299999999997"/>
    <n v="-5109.47"/>
    <s v="No"/>
  </r>
  <r>
    <s v="TXN-20730"/>
    <x v="183"/>
    <s v="Aug-2024"/>
    <x v="0"/>
    <x v="11"/>
    <x v="21"/>
    <s v="Fixed Deposit payment"/>
    <s v="Net Banking"/>
    <x v="394"/>
    <n v="8000"/>
    <s v="ICICI Credit Card"/>
    <x v="0"/>
    <n v="-537.52999999999975"/>
    <n v="-7462.47"/>
    <s v="No"/>
  </r>
  <r>
    <s v="TXN-20551"/>
    <x v="184"/>
    <s v="Aug-2024"/>
    <x v="0"/>
    <x v="10"/>
    <x v="17"/>
    <s v="Pharmacy payment"/>
    <s v="Credit Card"/>
    <x v="395"/>
    <n v="2000"/>
    <s v="ICICI Credit Card"/>
    <x v="1"/>
    <n v="417.92999999999984"/>
    <n v="-2417.9299999999998"/>
    <s v="Yes"/>
  </r>
  <r>
    <s v="TXN-20381"/>
    <x v="185"/>
    <s v="Aug-2024"/>
    <x v="0"/>
    <x v="4"/>
    <x v="4"/>
    <s v="Supermarket payment"/>
    <s v="Debit Card"/>
    <x v="396"/>
    <n v="6000"/>
    <s v="ICICI Credit Card"/>
    <x v="1"/>
    <n v="67.079999999999927"/>
    <n v="-6067.08"/>
    <s v="Yes"/>
  </r>
  <r>
    <s v="TXN-20796"/>
    <x v="185"/>
    <s v="Aug-2024"/>
    <x v="0"/>
    <x v="6"/>
    <x v="6"/>
    <s v="Cab/Taxi payment"/>
    <s v="UPI"/>
    <x v="397"/>
    <n v="3500"/>
    <s v="HDFC Savings"/>
    <x v="1"/>
    <n v="-579.05000000000018"/>
    <n v="-2920.95"/>
    <s v="No"/>
  </r>
  <r>
    <s v="TXN-20525"/>
    <x v="186"/>
    <s v="Aug-2024"/>
    <x v="0"/>
    <x v="3"/>
    <x v="15"/>
    <s v="Clothing payment"/>
    <s v="Debit Card"/>
    <x v="398"/>
    <n v="4000"/>
    <s v="Cash Wallet"/>
    <x v="1"/>
    <n v="100.64000000000033"/>
    <n v="-4100.6400000000003"/>
    <s v="Yes"/>
  </r>
  <r>
    <s v="TXN-20079"/>
    <x v="187"/>
    <s v="Aug-2024"/>
    <x v="0"/>
    <x v="5"/>
    <x v="5"/>
    <s v="House Rent payment"/>
    <s v="UPI"/>
    <x v="399"/>
    <n v="15000"/>
    <s v="SBI Salary A/c"/>
    <x v="0"/>
    <n v="-5958.7999999999993"/>
    <n v="-9041.2000000000007"/>
    <s v="No"/>
  </r>
  <r>
    <s v="TXN-20498"/>
    <x v="188"/>
    <s v="Aug-2024"/>
    <x v="1"/>
    <x v="9"/>
    <x v="14"/>
    <s v="Project Payment received"/>
    <s v="UPI"/>
    <x v="400"/>
    <n v="0"/>
    <s v="HDFC Savings"/>
    <x v="1"/>
    <s v="0"/>
    <n v="11816.94"/>
    <s v="Yes"/>
  </r>
  <r>
    <s v="TXN-20629"/>
    <x v="188"/>
    <s v="Aug-2024"/>
    <x v="0"/>
    <x v="10"/>
    <x v="24"/>
    <s v="Health Insurance payment"/>
    <s v="Net Banking"/>
    <x v="401"/>
    <n v="2000"/>
    <s v="Cash Wallet"/>
    <x v="0"/>
    <n v="-152.15000000000009"/>
    <n v="-1847.85"/>
    <s v="No"/>
  </r>
  <r>
    <s v="TXN-20349"/>
    <x v="189"/>
    <s v="Aug-2024"/>
    <x v="0"/>
    <x v="4"/>
    <x v="16"/>
    <s v="Local Market payment"/>
    <s v="UPI"/>
    <x v="402"/>
    <n v="6000"/>
    <s v="HDFC Savings"/>
    <x v="1"/>
    <n v="-566.14000000000033"/>
    <n v="-5433.86"/>
    <s v="No"/>
  </r>
  <r>
    <s v="TXN-20527"/>
    <x v="189"/>
    <s v="Aug-2024"/>
    <x v="1"/>
    <x v="7"/>
    <x v="7"/>
    <s v="Monthly Salary received"/>
    <s v="Net Banking"/>
    <x v="403"/>
    <n v="0"/>
    <s v="SBI Salary A/c"/>
    <x v="0"/>
    <s v="0"/>
    <n v="47346.09"/>
    <s v="Yes"/>
  </r>
  <r>
    <s v="TXN-20578"/>
    <x v="190"/>
    <s v="Aug-2024"/>
    <x v="1"/>
    <x v="7"/>
    <x v="7"/>
    <s v="Monthly Salary received"/>
    <s v="Debit Card"/>
    <x v="404"/>
    <n v="0"/>
    <s v="Cash Wallet"/>
    <x v="0"/>
    <s v="0"/>
    <n v="47883.06"/>
    <s v="Yes"/>
  </r>
  <r>
    <s v="TXN-20550"/>
    <x v="191"/>
    <s v="Aug-2024"/>
    <x v="0"/>
    <x v="10"/>
    <x v="24"/>
    <s v="Health Insurance payment"/>
    <s v="Credit Card"/>
    <x v="405"/>
    <n v="2000"/>
    <s v="SBI Salary A/c"/>
    <x v="1"/>
    <n v="-527.83999999999992"/>
    <n v="-1472.16"/>
    <s v="No"/>
  </r>
  <r>
    <s v="TXN-20951"/>
    <x v="191"/>
    <s v="Aug-2024"/>
    <x v="0"/>
    <x v="10"/>
    <x v="17"/>
    <s v="Pharmacy payment"/>
    <s v="Debit Card"/>
    <x v="406"/>
    <n v="2000"/>
    <s v="HDFC Savings"/>
    <x v="1"/>
    <n v="-181.18000000000006"/>
    <n v="-1818.82"/>
    <s v="No"/>
  </r>
  <r>
    <s v="TXN-20416"/>
    <x v="191"/>
    <s v="Aug-2024"/>
    <x v="0"/>
    <x v="1"/>
    <x v="9"/>
    <s v="Streaming Subscription payment"/>
    <s v="Net Banking"/>
    <x v="407"/>
    <n v="2500"/>
    <s v="Cash Wallet"/>
    <x v="1"/>
    <n v="-290.61999999999989"/>
    <n v="-2209.38"/>
    <s v="No"/>
  </r>
  <r>
    <s v="TXN-20332"/>
    <x v="191"/>
    <s v="Aug-2024"/>
    <x v="0"/>
    <x v="10"/>
    <x v="27"/>
    <s v="Doctor Visit payment"/>
    <s v="Credit Card"/>
    <x v="408"/>
    <n v="2000"/>
    <s v="SBI Salary A/c"/>
    <x v="1"/>
    <n v="30.130000000000109"/>
    <n v="-2030.13"/>
    <s v="Yes"/>
  </r>
  <r>
    <s v="TXN-20909"/>
    <x v="191"/>
    <s v="Aug-2024"/>
    <x v="0"/>
    <x v="11"/>
    <x v="19"/>
    <s v="Mutual Fund SIP payment"/>
    <s v="UPI"/>
    <x v="409"/>
    <n v="8000"/>
    <s v="HDFC Savings"/>
    <x v="0"/>
    <n v="-56.619999999999891"/>
    <n v="-7943.38"/>
    <s v="No"/>
  </r>
  <r>
    <s v="TXN-20306"/>
    <x v="192"/>
    <s v="Aug-2024"/>
    <x v="0"/>
    <x v="4"/>
    <x v="16"/>
    <s v="Local Market payment"/>
    <s v="Credit Card"/>
    <x v="410"/>
    <n v="6000"/>
    <s v="SBI Salary A/c"/>
    <x v="1"/>
    <n v="732.09000000000015"/>
    <n v="-6732.09"/>
    <s v="Yes"/>
  </r>
  <r>
    <s v="TXN-20858"/>
    <x v="192"/>
    <s v="Aug-2024"/>
    <x v="0"/>
    <x v="11"/>
    <x v="21"/>
    <s v="Fixed Deposit payment"/>
    <s v="UPI"/>
    <x v="411"/>
    <n v="8000"/>
    <s v="ICICI Credit Card"/>
    <x v="0"/>
    <n v="-2214.92"/>
    <n v="-5785.08"/>
    <s v="No"/>
  </r>
  <r>
    <s v="TXN-20680"/>
    <x v="192"/>
    <s v="Aug-2024"/>
    <x v="1"/>
    <x v="12"/>
    <x v="29"/>
    <s v="Interest Income received"/>
    <s v="Debit Card"/>
    <x v="412"/>
    <n v="0"/>
    <s v="HDFC Savings"/>
    <x v="1"/>
    <s v="0"/>
    <n v="3178.81"/>
    <s v="Yes"/>
  </r>
  <r>
    <s v="TXN-20020"/>
    <x v="192"/>
    <s v="Aug-2024"/>
    <x v="0"/>
    <x v="1"/>
    <x v="9"/>
    <s v="Streaming Subscription payment"/>
    <s v="UPI"/>
    <x v="413"/>
    <n v="2500"/>
    <s v="HDFC Savings"/>
    <x v="1"/>
    <n v="-701.48"/>
    <n v="-1798.52"/>
    <s v="No"/>
  </r>
  <r>
    <s v="TXN-20748"/>
    <x v="192"/>
    <s v="Aug-2024"/>
    <x v="1"/>
    <x v="7"/>
    <x v="7"/>
    <s v="Monthly Salary received"/>
    <s v="UPI"/>
    <x v="414"/>
    <n v="0"/>
    <s v="HDFC Savings"/>
    <x v="0"/>
    <s v="0"/>
    <n v="46357.16"/>
    <s v="Yes"/>
  </r>
  <r>
    <s v="TXN-20028"/>
    <x v="192"/>
    <s v="Aug-2024"/>
    <x v="0"/>
    <x v="4"/>
    <x v="16"/>
    <s v="Local Market payment"/>
    <s v="Debit Card"/>
    <x v="415"/>
    <n v="6000"/>
    <s v="HDFC Savings"/>
    <x v="1"/>
    <n v="-2047.2399999999998"/>
    <n v="-3952.76"/>
    <s v="No"/>
  </r>
  <r>
    <s v="TXN-20717"/>
    <x v="192"/>
    <s v="Aug-2024"/>
    <x v="0"/>
    <x v="3"/>
    <x v="3"/>
    <s v="Electronics payment"/>
    <s v="UPI"/>
    <x v="416"/>
    <n v="4000"/>
    <s v="ICICI Credit Card"/>
    <x v="1"/>
    <n v="-777.30000000000018"/>
    <n v="-3222.7"/>
    <s v="No"/>
  </r>
  <r>
    <s v="TXN-20197"/>
    <x v="193"/>
    <s v="Aug-2024"/>
    <x v="0"/>
    <x v="10"/>
    <x v="24"/>
    <s v="Health Insurance payment"/>
    <s v="Credit Card"/>
    <x v="417"/>
    <n v="2000"/>
    <s v="ICICI Credit Card"/>
    <x v="1"/>
    <n v="-657.72"/>
    <n v="-1342.28"/>
    <s v="No"/>
  </r>
  <r>
    <s v="TXN-20669"/>
    <x v="193"/>
    <s v="Aug-2024"/>
    <x v="0"/>
    <x v="2"/>
    <x v="2"/>
    <s v="Internet Bill payment"/>
    <s v="UPI"/>
    <x v="418"/>
    <n v="3000"/>
    <s v="SBI Salary A/c"/>
    <x v="0"/>
    <n v="-124.90000000000009"/>
    <n v="-2875.1"/>
    <s v="No"/>
  </r>
  <r>
    <s v="TXN-20829"/>
    <x v="194"/>
    <s v="Aug-2024"/>
    <x v="0"/>
    <x v="2"/>
    <x v="30"/>
    <s v="Water Bill payment"/>
    <s v="Debit Card"/>
    <x v="419"/>
    <n v="3000"/>
    <s v="ICICI Credit Card"/>
    <x v="0"/>
    <n v="-253.69000000000005"/>
    <n v="-2746.31"/>
    <s v="No"/>
  </r>
  <r>
    <s v="TXN-20455"/>
    <x v="195"/>
    <s v="Aug-2024"/>
    <x v="0"/>
    <x v="6"/>
    <x v="11"/>
    <s v="Public Transport payment"/>
    <s v="UPI"/>
    <x v="420"/>
    <n v="3500"/>
    <s v="HDFC Savings"/>
    <x v="1"/>
    <n v="504.73"/>
    <n v="-4004.73"/>
    <s v="Yes"/>
  </r>
  <r>
    <s v="TXN-20344"/>
    <x v="195"/>
    <s v="Aug-2024"/>
    <x v="0"/>
    <x v="4"/>
    <x v="16"/>
    <s v="Local Market payment"/>
    <s v="Cash"/>
    <x v="421"/>
    <n v="6000"/>
    <s v="Cash Wallet"/>
    <x v="1"/>
    <n v="-2647.53"/>
    <n v="-3352.47"/>
    <s v="No"/>
  </r>
  <r>
    <s v="TXN-20105"/>
    <x v="196"/>
    <s v="Aug-2024"/>
    <x v="0"/>
    <x v="4"/>
    <x v="4"/>
    <s v="Supermarket payment"/>
    <s v="Cash"/>
    <x v="422"/>
    <n v="6000"/>
    <s v="ICICI Credit Card"/>
    <x v="0"/>
    <n v="356.56999999999971"/>
    <n v="-6356.57"/>
    <s v="Yes"/>
  </r>
  <r>
    <s v="TXN-20131"/>
    <x v="196"/>
    <s v="Aug-2024"/>
    <x v="0"/>
    <x v="6"/>
    <x v="6"/>
    <s v="Cab/Taxi payment"/>
    <s v="Debit Card"/>
    <x v="423"/>
    <n v="3500"/>
    <s v="Cash Wallet"/>
    <x v="1"/>
    <n v="-1352.69"/>
    <n v="-2147.31"/>
    <s v="No"/>
  </r>
  <r>
    <s v="TXN-20322"/>
    <x v="197"/>
    <s v="Aug-2024"/>
    <x v="0"/>
    <x v="4"/>
    <x v="4"/>
    <s v="Supermarket payment"/>
    <s v="Cash"/>
    <x v="424"/>
    <n v="6000"/>
    <s v="Cash Wallet"/>
    <x v="1"/>
    <n v="-2970.78"/>
    <n v="-3029.22"/>
    <s v="No"/>
  </r>
  <r>
    <s v="TXN-20064"/>
    <x v="197"/>
    <s v="Aug-2024"/>
    <x v="0"/>
    <x v="0"/>
    <x v="13"/>
    <s v="Car Loan EMI payment"/>
    <s v="UPI"/>
    <x v="425"/>
    <n v="12000"/>
    <s v="SBI Salary A/c"/>
    <x v="0"/>
    <n v="2942.6900000000005"/>
    <n v="-14942.69"/>
    <s v="Yes"/>
  </r>
  <r>
    <s v="TXN-20768"/>
    <x v="198"/>
    <s v="Aug-2024"/>
    <x v="1"/>
    <x v="9"/>
    <x v="25"/>
    <s v="Consulting Fee received"/>
    <s v="Debit Card"/>
    <x v="426"/>
    <n v="0"/>
    <s v="Cash Wallet"/>
    <x v="1"/>
    <s v="0"/>
    <n v="10483.02"/>
    <s v="Yes"/>
  </r>
  <r>
    <s v="TXN-20543"/>
    <x v="198"/>
    <s v="Aug-2024"/>
    <x v="0"/>
    <x v="11"/>
    <x v="19"/>
    <s v="Mutual Fund SIP payment"/>
    <s v="UPI"/>
    <x v="427"/>
    <n v="8000"/>
    <s v="ICICI Credit Card"/>
    <x v="0"/>
    <n v="2253.4500000000007"/>
    <n v="-10253.450000000001"/>
    <s v="Yes"/>
  </r>
  <r>
    <s v="TXN-20848"/>
    <x v="199"/>
    <s v="Aug-2024"/>
    <x v="1"/>
    <x v="7"/>
    <x v="7"/>
    <s v="Monthly Salary received"/>
    <s v="Credit Card"/>
    <x v="428"/>
    <n v="0"/>
    <s v="SBI Salary A/c"/>
    <x v="0"/>
    <s v="0"/>
    <n v="43698.48"/>
    <s v="Yes"/>
  </r>
  <r>
    <s v="TXN-20294"/>
    <x v="199"/>
    <s v="Aug-2024"/>
    <x v="0"/>
    <x v="5"/>
    <x v="5"/>
    <s v="House Rent payment"/>
    <s v="UPI"/>
    <x v="429"/>
    <n v="15000"/>
    <s v="HDFC Savings"/>
    <x v="0"/>
    <n v="4148.91"/>
    <n v="-19148.91"/>
    <s v="Yes"/>
  </r>
  <r>
    <s v="TXN-20789"/>
    <x v="199"/>
    <s v="Aug-2024"/>
    <x v="0"/>
    <x v="10"/>
    <x v="17"/>
    <s v="Pharmacy payment"/>
    <s v="UPI"/>
    <x v="430"/>
    <n v="2000"/>
    <s v="SBI Salary A/c"/>
    <x v="0"/>
    <n v="-101.65000000000009"/>
    <n v="-1898.35"/>
    <s v="No"/>
  </r>
  <r>
    <s v="TXN-20341"/>
    <x v="200"/>
    <s v="Aug-2024"/>
    <x v="0"/>
    <x v="10"/>
    <x v="27"/>
    <s v="Doctor Visit payment"/>
    <s v="Cash"/>
    <x v="431"/>
    <n v="2000"/>
    <s v="HDFC Savings"/>
    <x v="1"/>
    <n v="-268.83999999999992"/>
    <n v="-1731.16"/>
    <s v="No"/>
  </r>
  <r>
    <s v="TXN-20975"/>
    <x v="200"/>
    <s v="Aug-2024"/>
    <x v="0"/>
    <x v="6"/>
    <x v="11"/>
    <s v="Public Transport payment"/>
    <s v="UPI"/>
    <x v="432"/>
    <n v="3500"/>
    <s v="Cash Wallet"/>
    <x v="1"/>
    <n v="-24.7199999999998"/>
    <n v="-3475.28"/>
    <s v="No"/>
  </r>
  <r>
    <s v="TXN-20561"/>
    <x v="201"/>
    <s v="Aug-2024"/>
    <x v="0"/>
    <x v="2"/>
    <x v="18"/>
    <s v="Electricity Bill payment"/>
    <s v="Credit Card"/>
    <x v="433"/>
    <n v="3000"/>
    <s v="SBI Salary A/c"/>
    <x v="0"/>
    <n v="-1119.99"/>
    <n v="-1880.01"/>
    <s v="No"/>
  </r>
  <r>
    <s v="TXN-20868"/>
    <x v="201"/>
    <s v="Aug-2024"/>
    <x v="0"/>
    <x v="2"/>
    <x v="12"/>
    <s v="Mobile Recharge payment"/>
    <s v="Credit Card"/>
    <x v="434"/>
    <n v="3000"/>
    <s v="HDFC Savings"/>
    <x v="0"/>
    <n v="594.40999999999985"/>
    <n v="-3594.41"/>
    <s v="Yes"/>
  </r>
  <r>
    <s v="TXN-20151"/>
    <x v="202"/>
    <s v="Sep-2024"/>
    <x v="0"/>
    <x v="0"/>
    <x v="8"/>
    <s v="Home Loan EMI payment"/>
    <s v="Credit Card"/>
    <x v="435"/>
    <n v="12000"/>
    <s v="ICICI Credit Card"/>
    <x v="0"/>
    <n v="-3273.8700000000008"/>
    <n v="-8726.1299999999992"/>
    <s v="No"/>
  </r>
  <r>
    <s v="TXN-20712"/>
    <x v="203"/>
    <s v="Sep-2024"/>
    <x v="0"/>
    <x v="5"/>
    <x v="5"/>
    <s v="House Rent payment"/>
    <s v="Credit Card"/>
    <x v="436"/>
    <n v="15000"/>
    <s v="SBI Salary A/c"/>
    <x v="0"/>
    <n v="-1148.5699999999997"/>
    <n v="-13851.43"/>
    <s v="No"/>
  </r>
  <r>
    <s v="TXN-20952"/>
    <x v="203"/>
    <s v="Sep-2024"/>
    <x v="0"/>
    <x v="3"/>
    <x v="23"/>
    <s v="Online Shopping payment"/>
    <s v="Credit Card"/>
    <x v="437"/>
    <n v="4000"/>
    <s v="ICICI Credit Card"/>
    <x v="1"/>
    <n v="1057.58"/>
    <n v="-5057.58"/>
    <s v="Yes"/>
  </r>
  <r>
    <s v="TXN-20652"/>
    <x v="203"/>
    <s v="Sep-2024"/>
    <x v="0"/>
    <x v="4"/>
    <x v="4"/>
    <s v="Supermarket payment"/>
    <s v="UPI"/>
    <x v="438"/>
    <n v="6000"/>
    <s v="ICICI Credit Card"/>
    <x v="1"/>
    <n v="297.52999999999975"/>
    <n v="-6297.53"/>
    <s v="Yes"/>
  </r>
  <r>
    <s v="TXN-20176"/>
    <x v="203"/>
    <s v="Sep-2024"/>
    <x v="0"/>
    <x v="4"/>
    <x v="4"/>
    <s v="Supermarket payment"/>
    <s v="Debit Card"/>
    <x v="439"/>
    <n v="6000"/>
    <s v="SBI Salary A/c"/>
    <x v="1"/>
    <n v="-2688.92"/>
    <n v="-3311.08"/>
    <s v="No"/>
  </r>
  <r>
    <s v="TXN-20017"/>
    <x v="204"/>
    <s v="Sep-2024"/>
    <x v="0"/>
    <x v="1"/>
    <x v="9"/>
    <s v="Streaming Subscription payment"/>
    <s v="Credit Card"/>
    <x v="440"/>
    <n v="2500"/>
    <s v="SBI Salary A/c"/>
    <x v="1"/>
    <n v="-409.48999999999978"/>
    <n v="-2090.5100000000002"/>
    <s v="No"/>
  </r>
  <r>
    <s v="TXN-20477"/>
    <x v="204"/>
    <s v="Sep-2024"/>
    <x v="0"/>
    <x v="4"/>
    <x v="4"/>
    <s v="Supermarket payment"/>
    <s v="Credit Card"/>
    <x v="441"/>
    <n v="6000"/>
    <s v="Cash Wallet"/>
    <x v="0"/>
    <n v="-2034.06"/>
    <n v="-3965.94"/>
    <s v="No"/>
  </r>
  <r>
    <s v="TXN-20058"/>
    <x v="205"/>
    <s v="Sep-2024"/>
    <x v="0"/>
    <x v="5"/>
    <x v="5"/>
    <s v="House Rent payment"/>
    <s v="Cash"/>
    <x v="442"/>
    <n v="15000"/>
    <s v="SBI Salary A/c"/>
    <x v="0"/>
    <n v="4350.8899999999994"/>
    <n v="-19350.89"/>
    <s v="Yes"/>
  </r>
  <r>
    <s v="TXN-20738"/>
    <x v="206"/>
    <s v="Sep-2024"/>
    <x v="0"/>
    <x v="6"/>
    <x v="26"/>
    <s v="Fuel payment"/>
    <s v="Credit Card"/>
    <x v="443"/>
    <n v="3500"/>
    <s v="HDFC Savings"/>
    <x v="1"/>
    <n v="732.11999999999989"/>
    <n v="-4232.12"/>
    <s v="Yes"/>
  </r>
  <r>
    <s v="TXN-20243"/>
    <x v="206"/>
    <s v="Sep-2024"/>
    <x v="0"/>
    <x v="5"/>
    <x v="5"/>
    <s v="House Rent payment"/>
    <s v="UPI"/>
    <x v="444"/>
    <n v="15000"/>
    <s v="ICICI Credit Card"/>
    <x v="0"/>
    <n v="3754.7200000000012"/>
    <n v="-18754.72"/>
    <s v="Yes"/>
  </r>
  <r>
    <s v="TXN-20734"/>
    <x v="207"/>
    <s v="Sep-2024"/>
    <x v="0"/>
    <x v="4"/>
    <x v="4"/>
    <s v="Supermarket payment"/>
    <s v="UPI"/>
    <x v="445"/>
    <n v="6000"/>
    <s v="ICICI Credit Card"/>
    <x v="1"/>
    <n v="-2150.89"/>
    <n v="-3849.11"/>
    <s v="No"/>
  </r>
  <r>
    <s v="TXN-20518"/>
    <x v="207"/>
    <s v="Sep-2024"/>
    <x v="0"/>
    <x v="5"/>
    <x v="5"/>
    <s v="House Rent payment"/>
    <s v="Credit Card"/>
    <x v="446"/>
    <n v="15000"/>
    <s v="ICICI Credit Card"/>
    <x v="0"/>
    <n v="378.75"/>
    <n v="-15378.75"/>
    <s v="Yes"/>
  </r>
  <r>
    <s v="TXN-20720"/>
    <x v="208"/>
    <s v="Sep-2024"/>
    <x v="0"/>
    <x v="4"/>
    <x v="16"/>
    <s v="Local Market payment"/>
    <s v="Debit Card"/>
    <x v="447"/>
    <n v="6000"/>
    <s v="HDFC Savings"/>
    <x v="0"/>
    <n v="-2741.31"/>
    <n v="-3258.69"/>
    <s v="No"/>
  </r>
  <r>
    <s v="TXN-20844"/>
    <x v="209"/>
    <s v="Sep-2024"/>
    <x v="0"/>
    <x v="2"/>
    <x v="2"/>
    <s v="Internet Bill payment"/>
    <s v="Net Banking"/>
    <x v="448"/>
    <n v="3000"/>
    <s v="Cash Wallet"/>
    <x v="0"/>
    <n v="-1441.99"/>
    <n v="-1558.01"/>
    <s v="No"/>
  </r>
  <r>
    <s v="TXN-20240"/>
    <x v="209"/>
    <s v="Sep-2024"/>
    <x v="1"/>
    <x v="7"/>
    <x v="7"/>
    <s v="Monthly Salary received"/>
    <s v="Net Banking"/>
    <x v="449"/>
    <n v="0"/>
    <s v="Cash Wallet"/>
    <x v="0"/>
    <s v="0"/>
    <n v="51775.96"/>
    <s v="Yes"/>
  </r>
  <r>
    <s v="TXN-20709"/>
    <x v="210"/>
    <s v="Sep-2024"/>
    <x v="0"/>
    <x v="11"/>
    <x v="28"/>
    <s v="Stocks payment"/>
    <s v="UPI"/>
    <x v="450"/>
    <n v="8000"/>
    <s v="HDFC Savings"/>
    <x v="0"/>
    <n v="284.18000000000029"/>
    <n v="-8284.18"/>
    <s v="Yes"/>
  </r>
  <r>
    <s v="TXN-20791"/>
    <x v="211"/>
    <s v="Sep-2024"/>
    <x v="0"/>
    <x v="5"/>
    <x v="5"/>
    <s v="House Rent payment"/>
    <s v="Net Banking"/>
    <x v="451"/>
    <n v="15000"/>
    <s v="ICICI Credit Card"/>
    <x v="0"/>
    <n v="-2864.01"/>
    <n v="-12135.99"/>
    <s v="No"/>
  </r>
  <r>
    <s v="TXN-20747"/>
    <x v="212"/>
    <s v="Sep-2024"/>
    <x v="0"/>
    <x v="6"/>
    <x v="26"/>
    <s v="Fuel payment"/>
    <s v="Net Banking"/>
    <x v="452"/>
    <n v="3500"/>
    <s v="Cash Wallet"/>
    <x v="1"/>
    <n v="756.55000000000018"/>
    <n v="-4256.55"/>
    <s v="Yes"/>
  </r>
  <r>
    <s v="TXN-20134"/>
    <x v="212"/>
    <s v="Sep-2024"/>
    <x v="0"/>
    <x v="10"/>
    <x v="17"/>
    <s v="Pharmacy payment"/>
    <s v="UPI"/>
    <x v="453"/>
    <n v="2000"/>
    <s v="ICICI Credit Card"/>
    <x v="1"/>
    <n v="245.67000000000007"/>
    <n v="-2245.67"/>
    <s v="Yes"/>
  </r>
  <r>
    <s v="TXN-20419"/>
    <x v="213"/>
    <s v="Sep-2024"/>
    <x v="1"/>
    <x v="7"/>
    <x v="7"/>
    <s v="Monthly Salary received"/>
    <s v="Credit Card"/>
    <x v="454"/>
    <n v="0"/>
    <s v="Cash Wallet"/>
    <x v="0"/>
    <s v="0"/>
    <n v="50418.51"/>
    <s v="Yes"/>
  </r>
  <r>
    <s v="TXN-20233"/>
    <x v="214"/>
    <s v="Sep-2024"/>
    <x v="1"/>
    <x v="7"/>
    <x v="7"/>
    <s v="Monthly Salary received"/>
    <s v="Net Banking"/>
    <x v="455"/>
    <n v="0"/>
    <s v="Cash Wallet"/>
    <x v="0"/>
    <s v="0"/>
    <n v="50513.55"/>
    <s v="Yes"/>
  </r>
  <r>
    <s v="TXN-20506"/>
    <x v="214"/>
    <s v="Sep-2024"/>
    <x v="0"/>
    <x v="0"/>
    <x v="8"/>
    <s v="Home Loan EMI payment"/>
    <s v="Credit Card"/>
    <x v="456"/>
    <n v="12000"/>
    <s v="HDFC Savings"/>
    <x v="0"/>
    <n v="-87.340000000000146"/>
    <n v="-11912.66"/>
    <s v="No"/>
  </r>
  <r>
    <s v="TXN-20602"/>
    <x v="214"/>
    <s v="Sep-2024"/>
    <x v="0"/>
    <x v="4"/>
    <x v="4"/>
    <s v="Supermarket payment"/>
    <s v="UPI"/>
    <x v="457"/>
    <n v="6000"/>
    <s v="HDFC Savings"/>
    <x v="1"/>
    <n v="-2183.9699999999998"/>
    <n v="-3816.03"/>
    <s v="No"/>
  </r>
  <r>
    <s v="TXN-20074"/>
    <x v="215"/>
    <s v="Sep-2024"/>
    <x v="0"/>
    <x v="6"/>
    <x v="26"/>
    <s v="Fuel payment"/>
    <s v="Credit Card"/>
    <x v="458"/>
    <n v="3500"/>
    <s v="HDFC Savings"/>
    <x v="1"/>
    <n v="-987.81"/>
    <n v="-2512.19"/>
    <s v="No"/>
  </r>
  <r>
    <s v="TXN-20125"/>
    <x v="215"/>
    <s v="Sep-2024"/>
    <x v="0"/>
    <x v="4"/>
    <x v="4"/>
    <s v="Supermarket payment"/>
    <s v="Credit Card"/>
    <x v="459"/>
    <n v="6000"/>
    <s v="SBI Salary A/c"/>
    <x v="1"/>
    <n v="962.64000000000033"/>
    <n v="-6962.64"/>
    <s v="Yes"/>
  </r>
  <r>
    <s v="TXN-20733"/>
    <x v="216"/>
    <s v="Sep-2024"/>
    <x v="0"/>
    <x v="4"/>
    <x v="16"/>
    <s v="Local Market payment"/>
    <s v="UPI"/>
    <x v="460"/>
    <n v="6000"/>
    <s v="SBI Salary A/c"/>
    <x v="1"/>
    <n v="511.55000000000018"/>
    <n v="-6511.55"/>
    <s v="Yes"/>
  </r>
  <r>
    <s v="TXN-20284"/>
    <x v="216"/>
    <s v="Sep-2024"/>
    <x v="0"/>
    <x v="1"/>
    <x v="9"/>
    <s v="Streaming Subscription payment"/>
    <s v="Credit Card"/>
    <x v="461"/>
    <n v="2500"/>
    <s v="SBI Salary A/c"/>
    <x v="1"/>
    <n v="-691.26"/>
    <n v="-1808.74"/>
    <s v="No"/>
  </r>
  <r>
    <s v="TXN-20713"/>
    <x v="217"/>
    <s v="Sep-2024"/>
    <x v="1"/>
    <x v="7"/>
    <x v="7"/>
    <s v="Monthly Salary received"/>
    <s v="Credit Card"/>
    <x v="462"/>
    <n v="0"/>
    <s v="Cash Wallet"/>
    <x v="0"/>
    <s v="0"/>
    <n v="48095.5"/>
    <s v="Yes"/>
  </r>
  <r>
    <s v="TXN-20292"/>
    <x v="217"/>
    <s v="Sep-2024"/>
    <x v="0"/>
    <x v="10"/>
    <x v="17"/>
    <s v="Pharmacy payment"/>
    <s v="UPI"/>
    <x v="463"/>
    <n v="2000"/>
    <s v="SBI Salary A/c"/>
    <x v="1"/>
    <n v="-443.68000000000006"/>
    <n v="-1556.32"/>
    <s v="No"/>
  </r>
  <r>
    <s v="TXN-20912"/>
    <x v="218"/>
    <s v="Sep-2024"/>
    <x v="1"/>
    <x v="9"/>
    <x v="14"/>
    <s v="Project Payment received"/>
    <s v="Credit Card"/>
    <x v="464"/>
    <n v="0"/>
    <s v="SBI Salary A/c"/>
    <x v="1"/>
    <s v="0"/>
    <n v="4688.91"/>
    <s v="Yes"/>
  </r>
  <r>
    <s v="TXN-20634"/>
    <x v="218"/>
    <s v="Sep-2024"/>
    <x v="0"/>
    <x v="10"/>
    <x v="27"/>
    <s v="Doctor Visit payment"/>
    <s v="Credit Card"/>
    <x v="465"/>
    <n v="2000"/>
    <s v="HDFC Savings"/>
    <x v="1"/>
    <n v="-425.47"/>
    <n v="-1574.53"/>
    <s v="No"/>
  </r>
  <r>
    <s v="TXN-20216"/>
    <x v="218"/>
    <s v="Sep-2024"/>
    <x v="0"/>
    <x v="2"/>
    <x v="2"/>
    <s v="Internet Bill payment"/>
    <s v="Credit Card"/>
    <x v="466"/>
    <n v="3000"/>
    <s v="ICICI Credit Card"/>
    <x v="0"/>
    <n v="-305.86999999999989"/>
    <n v="-2694.13"/>
    <s v="No"/>
  </r>
  <r>
    <s v="TXN-20732"/>
    <x v="218"/>
    <s v="Sep-2024"/>
    <x v="0"/>
    <x v="1"/>
    <x v="9"/>
    <s v="Streaming Subscription payment"/>
    <s v="Debit Card"/>
    <x v="467"/>
    <n v="2500"/>
    <s v="SBI Salary A/c"/>
    <x v="0"/>
    <n v="590.75"/>
    <n v="-3090.75"/>
    <s v="Yes"/>
  </r>
  <r>
    <s v="TXN-20158"/>
    <x v="219"/>
    <s v="Sep-2024"/>
    <x v="0"/>
    <x v="10"/>
    <x v="17"/>
    <s v="Pharmacy payment"/>
    <s v="Cash"/>
    <x v="468"/>
    <n v="2000"/>
    <s v="HDFC Savings"/>
    <x v="0"/>
    <n v="-764.59999999999991"/>
    <n v="-1235.4000000000001"/>
    <s v="No"/>
  </r>
  <r>
    <s v="TXN-20499"/>
    <x v="220"/>
    <s v="Sep-2024"/>
    <x v="0"/>
    <x v="8"/>
    <x v="20"/>
    <s v="Course Fee payment"/>
    <s v="Credit Card"/>
    <x v="469"/>
    <n v="2000"/>
    <s v="SBI Salary A/c"/>
    <x v="1"/>
    <n v="-731.06"/>
    <n v="-1268.94"/>
    <s v="No"/>
  </r>
  <r>
    <s v="TXN-20724"/>
    <x v="221"/>
    <s v="Sep-2024"/>
    <x v="0"/>
    <x v="4"/>
    <x v="16"/>
    <s v="Local Market payment"/>
    <s v="Debit Card"/>
    <x v="470"/>
    <n v="6000"/>
    <s v="HDFC Savings"/>
    <x v="1"/>
    <n v="-2323.7199999999998"/>
    <n v="-3676.28"/>
    <s v="No"/>
  </r>
  <r>
    <s v="TXN-20245"/>
    <x v="221"/>
    <s v="Sep-2024"/>
    <x v="0"/>
    <x v="1"/>
    <x v="22"/>
    <s v="Outing payment"/>
    <s v="UPI"/>
    <x v="471"/>
    <n v="2500"/>
    <s v="Cash Wallet"/>
    <x v="1"/>
    <n v="599.61999999999989"/>
    <n v="-3099.62"/>
    <s v="Yes"/>
  </r>
  <r>
    <s v="TXN-20339"/>
    <x v="221"/>
    <s v="Sep-2024"/>
    <x v="1"/>
    <x v="12"/>
    <x v="31"/>
    <s v="Dividend received"/>
    <s v="UPI"/>
    <x v="472"/>
    <n v="0"/>
    <s v="ICICI Credit Card"/>
    <x v="1"/>
    <s v="0"/>
    <n v="4048.48"/>
    <s v="Yes"/>
  </r>
  <r>
    <s v="TXN-20591"/>
    <x v="221"/>
    <s v="Sep-2024"/>
    <x v="0"/>
    <x v="0"/>
    <x v="0"/>
    <s v="Personal Loan EMI payment"/>
    <s v="Net Banking"/>
    <x v="473"/>
    <n v="12000"/>
    <s v="ICICI Credit Card"/>
    <x v="0"/>
    <n v="-5398.34"/>
    <n v="-6601.66"/>
    <s v="No"/>
  </r>
  <r>
    <s v="TXN-20923"/>
    <x v="222"/>
    <s v="Sep-2024"/>
    <x v="0"/>
    <x v="3"/>
    <x v="3"/>
    <s v="Electronics payment"/>
    <s v="Net Banking"/>
    <x v="474"/>
    <n v="4000"/>
    <s v="HDFC Savings"/>
    <x v="1"/>
    <n v="-629.61999999999989"/>
    <n v="-3370.38"/>
    <s v="No"/>
  </r>
  <r>
    <s v="TXN-20765"/>
    <x v="222"/>
    <s v="Sep-2024"/>
    <x v="0"/>
    <x v="4"/>
    <x v="16"/>
    <s v="Local Market payment"/>
    <s v="Net Banking"/>
    <x v="475"/>
    <n v="6000"/>
    <s v="Cash Wallet"/>
    <x v="1"/>
    <n v="-440.55000000000018"/>
    <n v="-5559.45"/>
    <s v="No"/>
  </r>
  <r>
    <s v="TXN-20261"/>
    <x v="222"/>
    <s v="Sep-2024"/>
    <x v="0"/>
    <x v="0"/>
    <x v="8"/>
    <s v="Home Loan EMI payment"/>
    <s v="UPI"/>
    <x v="476"/>
    <n v="12000"/>
    <s v="HDFC Savings"/>
    <x v="0"/>
    <n v="-1133.4300000000003"/>
    <n v="-10866.57"/>
    <s v="No"/>
  </r>
  <r>
    <s v="TXN-20569"/>
    <x v="223"/>
    <s v="Sep-2024"/>
    <x v="0"/>
    <x v="6"/>
    <x v="11"/>
    <s v="Public Transport payment"/>
    <s v="Net Banking"/>
    <x v="477"/>
    <n v="3500"/>
    <s v="SBI Salary A/c"/>
    <x v="1"/>
    <n v="-780.76000000000022"/>
    <n v="-2719.24"/>
    <s v="No"/>
  </r>
  <r>
    <s v="TXN-20285"/>
    <x v="223"/>
    <s v="Sep-2024"/>
    <x v="0"/>
    <x v="0"/>
    <x v="0"/>
    <s v="Personal Loan EMI payment"/>
    <s v="UPI"/>
    <x v="478"/>
    <n v="12000"/>
    <s v="Cash Wallet"/>
    <x v="0"/>
    <n v="-1648.2199999999993"/>
    <n v="-10351.780000000001"/>
    <s v="No"/>
  </r>
  <r>
    <s v="TXN-20359"/>
    <x v="223"/>
    <s v="Sep-2024"/>
    <x v="1"/>
    <x v="7"/>
    <x v="7"/>
    <s v="Monthly Salary received"/>
    <s v="Net Banking"/>
    <x v="479"/>
    <n v="0"/>
    <s v="HDFC Savings"/>
    <x v="0"/>
    <s v="0"/>
    <n v="45463.42"/>
    <s v="Yes"/>
  </r>
  <r>
    <s v="TXN-20320"/>
    <x v="224"/>
    <s v="Sep-2024"/>
    <x v="0"/>
    <x v="0"/>
    <x v="13"/>
    <s v="Car Loan EMI payment"/>
    <s v="Net Banking"/>
    <x v="480"/>
    <n v="12000"/>
    <s v="HDFC Savings"/>
    <x v="0"/>
    <n v="-1294.1100000000006"/>
    <n v="-10705.89"/>
    <s v="No"/>
  </r>
  <r>
    <s v="TXN-20353"/>
    <x v="225"/>
    <s v="Sep-2024"/>
    <x v="0"/>
    <x v="11"/>
    <x v="28"/>
    <s v="Stocks payment"/>
    <s v="Net Banking"/>
    <x v="481"/>
    <n v="8000"/>
    <s v="Cash Wallet"/>
    <x v="0"/>
    <n v="-54.140000000000327"/>
    <n v="-7945.86"/>
    <s v="No"/>
  </r>
  <r>
    <s v="TXN-20428"/>
    <x v="226"/>
    <s v="Sep-2024"/>
    <x v="0"/>
    <x v="11"/>
    <x v="28"/>
    <s v="Stocks payment"/>
    <s v="Debit Card"/>
    <x v="482"/>
    <n v="8000"/>
    <s v="SBI Salary A/c"/>
    <x v="0"/>
    <n v="458.95000000000073"/>
    <n v="-8458.9500000000007"/>
    <s v="Yes"/>
  </r>
  <r>
    <s v="TXN-20870"/>
    <x v="227"/>
    <s v="Oct-2024"/>
    <x v="0"/>
    <x v="0"/>
    <x v="8"/>
    <s v="Home Loan EMI payment"/>
    <s v="Credit Card"/>
    <x v="483"/>
    <n v="12000"/>
    <s v="ICICI Credit Card"/>
    <x v="0"/>
    <n v="-3172.59"/>
    <n v="-8827.41"/>
    <s v="No"/>
  </r>
  <r>
    <s v="TXN-20957"/>
    <x v="228"/>
    <s v="Oct-2024"/>
    <x v="0"/>
    <x v="6"/>
    <x v="11"/>
    <s v="Public Transport payment"/>
    <s v="UPI"/>
    <x v="484"/>
    <n v="3500"/>
    <s v="Cash Wallet"/>
    <x v="1"/>
    <n v="-1254.4899999999998"/>
    <n v="-2245.5100000000002"/>
    <s v="No"/>
  </r>
  <r>
    <s v="TXN-20915"/>
    <x v="228"/>
    <s v="Oct-2024"/>
    <x v="0"/>
    <x v="3"/>
    <x v="3"/>
    <s v="Electronics payment"/>
    <s v="Cash"/>
    <x v="485"/>
    <n v="4000"/>
    <s v="ICICI Credit Card"/>
    <x v="0"/>
    <n v="-1466.83"/>
    <n v="-2533.17"/>
    <s v="No"/>
  </r>
  <r>
    <s v="TXN-20678"/>
    <x v="229"/>
    <s v="Oct-2024"/>
    <x v="0"/>
    <x v="5"/>
    <x v="5"/>
    <s v="House Rent payment"/>
    <s v="UPI"/>
    <x v="486"/>
    <n v="15000"/>
    <s v="Cash Wallet"/>
    <x v="0"/>
    <n v="153.09000000000015"/>
    <n v="-15153.09"/>
    <s v="Yes"/>
  </r>
  <r>
    <s v="TXN-20010"/>
    <x v="229"/>
    <s v="Oct-2024"/>
    <x v="0"/>
    <x v="5"/>
    <x v="5"/>
    <s v="House Rent payment"/>
    <s v="Credit Card"/>
    <x v="487"/>
    <n v="15000"/>
    <s v="HDFC Savings"/>
    <x v="0"/>
    <n v="-3793.7700000000004"/>
    <n v="-11206.23"/>
    <s v="No"/>
  </r>
  <r>
    <s v="TXN-20152"/>
    <x v="229"/>
    <s v="Oct-2024"/>
    <x v="0"/>
    <x v="2"/>
    <x v="30"/>
    <s v="Water Bill payment"/>
    <s v="UPI"/>
    <x v="488"/>
    <n v="3000"/>
    <s v="SBI Salary A/c"/>
    <x v="0"/>
    <n v="360.90000000000009"/>
    <n v="-3360.9"/>
    <s v="Yes"/>
  </r>
  <r>
    <s v="TXN-20916"/>
    <x v="230"/>
    <s v="Oct-2024"/>
    <x v="0"/>
    <x v="4"/>
    <x v="16"/>
    <s v="Local Market payment"/>
    <s v="Net Banking"/>
    <x v="489"/>
    <n v="6000"/>
    <s v="SBI Salary A/c"/>
    <x v="1"/>
    <n v="-259.22000000000025"/>
    <n v="-5740.78"/>
    <s v="No"/>
  </r>
  <r>
    <s v="TXN-20524"/>
    <x v="231"/>
    <s v="Oct-2024"/>
    <x v="0"/>
    <x v="11"/>
    <x v="21"/>
    <s v="Fixed Deposit payment"/>
    <s v="UPI"/>
    <x v="490"/>
    <n v="8000"/>
    <s v="ICICI Credit Card"/>
    <x v="0"/>
    <n v="-985.69999999999982"/>
    <n v="-7014.3"/>
    <s v="No"/>
  </r>
  <r>
    <s v="TXN-20006"/>
    <x v="232"/>
    <s v="Oct-2024"/>
    <x v="0"/>
    <x v="0"/>
    <x v="13"/>
    <s v="Car Loan EMI payment"/>
    <s v="UPI"/>
    <x v="491"/>
    <n v="12000"/>
    <s v="HDFC Savings"/>
    <x v="0"/>
    <n v="3195.9699999999993"/>
    <n v="-15195.97"/>
    <s v="Yes"/>
  </r>
  <r>
    <s v="TXN-20340"/>
    <x v="233"/>
    <s v="Oct-2024"/>
    <x v="0"/>
    <x v="4"/>
    <x v="16"/>
    <s v="Local Market payment"/>
    <s v="Credit Card"/>
    <x v="492"/>
    <n v="6000"/>
    <s v="ICICI Credit Card"/>
    <x v="1"/>
    <n v="-2673.86"/>
    <n v="-3326.14"/>
    <s v="No"/>
  </r>
  <r>
    <s v="TXN-20201"/>
    <x v="234"/>
    <s v="Oct-2024"/>
    <x v="1"/>
    <x v="7"/>
    <x v="7"/>
    <s v="Monthly Salary received"/>
    <s v="UPI"/>
    <x v="493"/>
    <n v="0"/>
    <s v="SBI Salary A/c"/>
    <x v="0"/>
    <s v="0"/>
    <n v="45127.31"/>
    <s v="Yes"/>
  </r>
  <r>
    <s v="TXN-20750"/>
    <x v="235"/>
    <s v="Oct-2024"/>
    <x v="0"/>
    <x v="1"/>
    <x v="22"/>
    <s v="Outing payment"/>
    <s v="UPI"/>
    <x v="494"/>
    <n v="2500"/>
    <s v="ICICI Credit Card"/>
    <x v="1"/>
    <n v="-451.73999999999978"/>
    <n v="-2048.2600000000002"/>
    <s v="No"/>
  </r>
  <r>
    <s v="TXN-20948"/>
    <x v="235"/>
    <s v="Oct-2024"/>
    <x v="0"/>
    <x v="10"/>
    <x v="27"/>
    <s v="Doctor Visit payment"/>
    <s v="UPI"/>
    <x v="495"/>
    <n v="2000"/>
    <s v="ICICI Credit Card"/>
    <x v="0"/>
    <n v="501.05999999999995"/>
    <n v="-2501.06"/>
    <s v="Yes"/>
  </r>
  <r>
    <s v="TXN-20695"/>
    <x v="235"/>
    <s v="Oct-2024"/>
    <x v="0"/>
    <x v="6"/>
    <x v="26"/>
    <s v="Fuel payment"/>
    <s v="UPI"/>
    <x v="496"/>
    <n v="3500"/>
    <s v="Cash Wallet"/>
    <x v="1"/>
    <n v="-232.40999999999985"/>
    <n v="-3267.59"/>
    <s v="No"/>
  </r>
  <r>
    <s v="TXN-20136"/>
    <x v="235"/>
    <s v="Oct-2024"/>
    <x v="0"/>
    <x v="11"/>
    <x v="28"/>
    <s v="Stocks payment"/>
    <s v="UPI"/>
    <x v="497"/>
    <n v="8000"/>
    <s v="SBI Salary A/c"/>
    <x v="0"/>
    <n v="-1621.9499999999998"/>
    <n v="-6378.05"/>
    <s v="No"/>
  </r>
  <r>
    <s v="TXN-20794"/>
    <x v="236"/>
    <s v="Oct-2024"/>
    <x v="1"/>
    <x v="9"/>
    <x v="14"/>
    <s v="Project Payment received"/>
    <s v="Cash"/>
    <x v="498"/>
    <n v="0"/>
    <s v="ICICI Credit Card"/>
    <x v="1"/>
    <s v="0"/>
    <n v="8771.81"/>
    <s v="Yes"/>
  </r>
  <r>
    <s v="TXN-20689"/>
    <x v="236"/>
    <s v="Oct-2024"/>
    <x v="0"/>
    <x v="8"/>
    <x v="10"/>
    <s v="Books payment"/>
    <s v="Cash"/>
    <x v="499"/>
    <n v="2000"/>
    <s v="SBI Salary A/c"/>
    <x v="1"/>
    <n v="-378.04999999999995"/>
    <n v="-1621.95"/>
    <s v="No"/>
  </r>
  <r>
    <s v="TXN-20536"/>
    <x v="236"/>
    <s v="Oct-2024"/>
    <x v="1"/>
    <x v="7"/>
    <x v="7"/>
    <s v="Monthly Salary received"/>
    <s v="Cash"/>
    <x v="500"/>
    <n v="0"/>
    <s v="HDFC Savings"/>
    <x v="0"/>
    <s v="0"/>
    <n v="45528.51"/>
    <s v="Yes"/>
  </r>
  <r>
    <s v="TXN-20723"/>
    <x v="237"/>
    <s v="Oct-2024"/>
    <x v="0"/>
    <x v="2"/>
    <x v="2"/>
    <s v="Internet Bill payment"/>
    <s v="UPI"/>
    <x v="501"/>
    <n v="3000"/>
    <s v="Cash Wallet"/>
    <x v="0"/>
    <n v="549.4699999999998"/>
    <n v="-3549.47"/>
    <s v="Yes"/>
  </r>
  <r>
    <s v="TXN-20145"/>
    <x v="237"/>
    <s v="Oct-2024"/>
    <x v="0"/>
    <x v="11"/>
    <x v="21"/>
    <s v="Fixed Deposit payment"/>
    <s v="Credit Card"/>
    <x v="502"/>
    <n v="8000"/>
    <s v="HDFC Savings"/>
    <x v="0"/>
    <n v="742.3799999999992"/>
    <n v="-8742.3799999999992"/>
    <s v="Yes"/>
  </r>
  <r>
    <s v="TXN-20539"/>
    <x v="238"/>
    <s v="Oct-2024"/>
    <x v="1"/>
    <x v="9"/>
    <x v="25"/>
    <s v="Consulting Fee received"/>
    <s v="Debit Card"/>
    <x v="503"/>
    <n v="0"/>
    <s v="SBI Salary A/c"/>
    <x v="1"/>
    <s v="0"/>
    <n v="4613.7"/>
    <s v="Yes"/>
  </r>
  <r>
    <s v="TXN-20467"/>
    <x v="238"/>
    <s v="Oct-2024"/>
    <x v="0"/>
    <x v="0"/>
    <x v="13"/>
    <s v="Car Loan EMI payment"/>
    <s v="Net Banking"/>
    <x v="504"/>
    <n v="12000"/>
    <s v="HDFC Savings"/>
    <x v="0"/>
    <n v="-2628.33"/>
    <n v="-9371.67"/>
    <s v="No"/>
  </r>
  <r>
    <s v="TXN-20210"/>
    <x v="238"/>
    <s v="Oct-2024"/>
    <x v="0"/>
    <x v="6"/>
    <x v="6"/>
    <s v="Cab/Taxi payment"/>
    <s v="Debit Card"/>
    <x v="505"/>
    <n v="3500"/>
    <s v="SBI Salary A/c"/>
    <x v="0"/>
    <n v="248"/>
    <n v="-3748"/>
    <s v="Yes"/>
  </r>
  <r>
    <s v="TXN-20054"/>
    <x v="239"/>
    <s v="Oct-2024"/>
    <x v="0"/>
    <x v="1"/>
    <x v="22"/>
    <s v="Outing payment"/>
    <s v="UPI"/>
    <x v="506"/>
    <n v="2500"/>
    <s v="Cash Wallet"/>
    <x v="1"/>
    <n v="351.17999999999984"/>
    <n v="-2851.18"/>
    <s v="Yes"/>
  </r>
  <r>
    <s v="TXN-20177"/>
    <x v="239"/>
    <s v="Oct-2024"/>
    <x v="0"/>
    <x v="4"/>
    <x v="4"/>
    <s v="Supermarket payment"/>
    <s v="Cash"/>
    <x v="507"/>
    <n v="6000"/>
    <s v="HDFC Savings"/>
    <x v="1"/>
    <n v="-964.64000000000033"/>
    <n v="-5035.3599999999997"/>
    <s v="No"/>
  </r>
  <r>
    <s v="TXN-20274"/>
    <x v="240"/>
    <s v="Oct-2024"/>
    <x v="0"/>
    <x v="1"/>
    <x v="22"/>
    <s v="Outing payment"/>
    <s v="UPI"/>
    <x v="508"/>
    <n v="2500"/>
    <s v="ICICI Credit Card"/>
    <x v="1"/>
    <n v="380.90000000000009"/>
    <n v="-2880.9"/>
    <s v="Yes"/>
  </r>
  <r>
    <s v="TXN-20254"/>
    <x v="240"/>
    <s v="Oct-2024"/>
    <x v="0"/>
    <x v="2"/>
    <x v="2"/>
    <s v="Internet Bill payment"/>
    <s v="Cash"/>
    <x v="509"/>
    <n v="3000"/>
    <s v="ICICI Credit Card"/>
    <x v="0"/>
    <n v="210.51999999999998"/>
    <n v="-3210.52"/>
    <s v="Yes"/>
  </r>
  <r>
    <s v="TXN-20126"/>
    <x v="241"/>
    <s v="Oct-2024"/>
    <x v="0"/>
    <x v="3"/>
    <x v="15"/>
    <s v="Clothing payment"/>
    <s v="Credit Card"/>
    <x v="510"/>
    <n v="4000"/>
    <s v="HDFC Savings"/>
    <x v="1"/>
    <n v="-1989.2"/>
    <n v="-2010.8"/>
    <s v="No"/>
  </r>
  <r>
    <s v="TXN-20606"/>
    <x v="241"/>
    <s v="Oct-2024"/>
    <x v="1"/>
    <x v="7"/>
    <x v="7"/>
    <s v="Monthly Salary received"/>
    <s v="Credit Card"/>
    <x v="511"/>
    <n v="0"/>
    <s v="SBI Salary A/c"/>
    <x v="0"/>
    <s v="0"/>
    <n v="48310.3"/>
    <s v="Yes"/>
  </r>
  <r>
    <s v="TXN-20779"/>
    <x v="241"/>
    <s v="Oct-2024"/>
    <x v="0"/>
    <x v="3"/>
    <x v="15"/>
    <s v="Clothing payment"/>
    <s v="UPI"/>
    <x v="512"/>
    <n v="4000"/>
    <s v="SBI Salary A/c"/>
    <x v="1"/>
    <n v="-676.32000000000016"/>
    <n v="-3323.68"/>
    <s v="No"/>
  </r>
  <r>
    <s v="TXN-20895"/>
    <x v="242"/>
    <s v="Oct-2024"/>
    <x v="0"/>
    <x v="4"/>
    <x v="16"/>
    <s v="Local Market payment"/>
    <s v="Debit Card"/>
    <x v="513"/>
    <n v="6000"/>
    <s v="SBI Salary A/c"/>
    <x v="1"/>
    <n v="331.93000000000029"/>
    <n v="-6331.93"/>
    <s v="Yes"/>
  </r>
  <r>
    <s v="TXN-20630"/>
    <x v="242"/>
    <s v="Oct-2024"/>
    <x v="0"/>
    <x v="6"/>
    <x v="26"/>
    <s v="Fuel payment"/>
    <s v="Cash"/>
    <x v="514"/>
    <n v="3500"/>
    <s v="HDFC Savings"/>
    <x v="1"/>
    <n v="715.77000000000044"/>
    <n v="-4215.7700000000004"/>
    <s v="Yes"/>
  </r>
  <r>
    <s v="TXN-20301"/>
    <x v="243"/>
    <s v="Oct-2024"/>
    <x v="0"/>
    <x v="1"/>
    <x v="1"/>
    <s v="Movies payment"/>
    <s v="Debit Card"/>
    <x v="515"/>
    <n v="2500"/>
    <s v="SBI Salary A/c"/>
    <x v="0"/>
    <n v="212.44000000000005"/>
    <n v="-2712.44"/>
    <s v="Yes"/>
  </r>
  <r>
    <s v="TXN-20784"/>
    <x v="243"/>
    <s v="Oct-2024"/>
    <x v="0"/>
    <x v="5"/>
    <x v="5"/>
    <s v="House Rent payment"/>
    <s v="Debit Card"/>
    <x v="516"/>
    <n v="15000"/>
    <s v="ICICI Credit Card"/>
    <x v="0"/>
    <n v="-1425.8600000000006"/>
    <n v="-13574.14"/>
    <s v="No"/>
  </r>
  <r>
    <s v="TXN-20516"/>
    <x v="244"/>
    <s v="Oct-2024"/>
    <x v="0"/>
    <x v="4"/>
    <x v="4"/>
    <s v="Supermarket payment"/>
    <s v="Credit Card"/>
    <x v="517"/>
    <n v="6000"/>
    <s v="HDFC Savings"/>
    <x v="1"/>
    <n v="1552.0200000000004"/>
    <n v="-7552.02"/>
    <s v="Yes"/>
  </r>
  <r>
    <s v="TXN-20307"/>
    <x v="244"/>
    <s v="Oct-2024"/>
    <x v="0"/>
    <x v="10"/>
    <x v="17"/>
    <s v="Pharmacy payment"/>
    <s v="Credit Card"/>
    <x v="518"/>
    <n v="2000"/>
    <s v="Cash Wallet"/>
    <x v="1"/>
    <n v="-508.83999999999992"/>
    <n v="-1491.16"/>
    <s v="No"/>
  </r>
  <r>
    <s v="TXN-20258"/>
    <x v="244"/>
    <s v="Oct-2024"/>
    <x v="0"/>
    <x v="0"/>
    <x v="8"/>
    <s v="Home Loan EMI payment"/>
    <s v="Debit Card"/>
    <x v="519"/>
    <n v="12000"/>
    <s v="Cash Wallet"/>
    <x v="0"/>
    <n v="-1298.4300000000003"/>
    <n v="-10701.57"/>
    <s v="No"/>
  </r>
  <r>
    <s v="TXN-20390"/>
    <x v="245"/>
    <s v="Oct-2024"/>
    <x v="0"/>
    <x v="0"/>
    <x v="0"/>
    <s v="Personal Loan EMI payment"/>
    <s v="Debit Card"/>
    <x v="520"/>
    <n v="12000"/>
    <s v="HDFC Savings"/>
    <x v="0"/>
    <n v="1616.4400000000005"/>
    <n v="-13616.44"/>
    <s v="Yes"/>
  </r>
  <r>
    <s v="TXN-20833"/>
    <x v="246"/>
    <s v="Oct-2024"/>
    <x v="0"/>
    <x v="0"/>
    <x v="0"/>
    <s v="Personal Loan EMI payment"/>
    <s v="Debit Card"/>
    <x v="521"/>
    <n v="12000"/>
    <s v="SBI Salary A/c"/>
    <x v="0"/>
    <n v="1841.0400000000009"/>
    <n v="-13841.04"/>
    <s v="Yes"/>
  </r>
  <r>
    <s v="TXN-20068"/>
    <x v="247"/>
    <s v="Oct-2024"/>
    <x v="0"/>
    <x v="3"/>
    <x v="15"/>
    <s v="Clothing payment"/>
    <s v="UPI"/>
    <x v="522"/>
    <n v="4000"/>
    <s v="HDFC Savings"/>
    <x v="0"/>
    <n v="-1194.8400000000001"/>
    <n v="-2805.16"/>
    <s v="No"/>
  </r>
  <r>
    <s v="TXN-20867"/>
    <x v="247"/>
    <s v="Oct-2024"/>
    <x v="0"/>
    <x v="5"/>
    <x v="5"/>
    <s v="House Rent payment"/>
    <s v="Credit Card"/>
    <x v="523"/>
    <n v="15000"/>
    <s v="ICICI Credit Card"/>
    <x v="0"/>
    <n v="383"/>
    <n v="-15383"/>
    <s v="Yes"/>
  </r>
  <r>
    <s v="TXN-20257"/>
    <x v="248"/>
    <s v="Oct-2024"/>
    <x v="1"/>
    <x v="7"/>
    <x v="7"/>
    <s v="Monthly Salary received"/>
    <s v="UPI"/>
    <x v="524"/>
    <n v="0"/>
    <s v="SBI Salary A/c"/>
    <x v="0"/>
    <s v="0"/>
    <n v="51055.22"/>
    <s v="Yes"/>
  </r>
  <r>
    <s v="TXN-20463"/>
    <x v="249"/>
    <s v="Oct-2024"/>
    <x v="0"/>
    <x v="5"/>
    <x v="5"/>
    <s v="House Rent payment"/>
    <s v="Credit Card"/>
    <x v="525"/>
    <n v="15000"/>
    <s v="Cash Wallet"/>
    <x v="0"/>
    <n v="-3606.0300000000007"/>
    <n v="-11393.97"/>
    <s v="No"/>
  </r>
  <r>
    <s v="TXN-20813"/>
    <x v="249"/>
    <s v="Oct-2024"/>
    <x v="0"/>
    <x v="0"/>
    <x v="0"/>
    <s v="Personal Loan EMI payment"/>
    <s v="UPI"/>
    <x v="526"/>
    <n v="12000"/>
    <s v="SBI Salary A/c"/>
    <x v="0"/>
    <n v="1294.6900000000005"/>
    <n v="-13294.69"/>
    <s v="Yes"/>
  </r>
  <r>
    <s v="TXN-20287"/>
    <x v="250"/>
    <s v="Oct-2024"/>
    <x v="0"/>
    <x v="1"/>
    <x v="1"/>
    <s v="Movies payment"/>
    <s v="UPI"/>
    <x v="527"/>
    <n v="2500"/>
    <s v="ICICI Credit Card"/>
    <x v="1"/>
    <n v="-603.06999999999994"/>
    <n v="-1896.93"/>
    <s v="No"/>
  </r>
  <r>
    <s v="TXN-20309"/>
    <x v="250"/>
    <s v="Oct-2024"/>
    <x v="0"/>
    <x v="5"/>
    <x v="5"/>
    <s v="House Rent payment"/>
    <s v="Credit Card"/>
    <x v="528"/>
    <n v="15000"/>
    <s v="ICICI Credit Card"/>
    <x v="0"/>
    <n v="-1316.0900000000001"/>
    <n v="-13683.91"/>
    <s v="No"/>
  </r>
  <r>
    <s v="TXN-20866"/>
    <x v="251"/>
    <s v="Oct-2024"/>
    <x v="0"/>
    <x v="0"/>
    <x v="13"/>
    <s v="Car Loan EMI payment"/>
    <s v="UPI"/>
    <x v="529"/>
    <n v="12000"/>
    <s v="SBI Salary A/c"/>
    <x v="0"/>
    <n v="812.55999999999949"/>
    <n v="-12812.56"/>
    <s v="Yes"/>
  </r>
  <r>
    <s v="TXN-20896"/>
    <x v="251"/>
    <s v="Oct-2024"/>
    <x v="0"/>
    <x v="5"/>
    <x v="5"/>
    <s v="House Rent payment"/>
    <s v="Net Banking"/>
    <x v="530"/>
    <n v="15000"/>
    <s v="ICICI Credit Card"/>
    <x v="0"/>
    <n v="535"/>
    <n v="-15535"/>
    <s v="Yes"/>
  </r>
  <r>
    <s v="TXN-20443"/>
    <x v="251"/>
    <s v="Oct-2024"/>
    <x v="0"/>
    <x v="0"/>
    <x v="8"/>
    <s v="Home Loan EMI payment"/>
    <s v="UPI"/>
    <x v="531"/>
    <n v="12000"/>
    <s v="ICICI Credit Card"/>
    <x v="0"/>
    <n v="3196.4400000000005"/>
    <n v="-15196.44"/>
    <s v="Yes"/>
  </r>
  <r>
    <s v="TXN-20875"/>
    <x v="251"/>
    <s v="Oct-2024"/>
    <x v="0"/>
    <x v="5"/>
    <x v="5"/>
    <s v="House Rent payment"/>
    <s v="Net Banking"/>
    <x v="532"/>
    <n v="15000"/>
    <s v="ICICI Credit Card"/>
    <x v="0"/>
    <n v="-6921.9"/>
    <n v="-8078.1"/>
    <s v="No"/>
  </r>
  <r>
    <s v="TXN-20084"/>
    <x v="252"/>
    <s v="Oct-2024"/>
    <x v="0"/>
    <x v="0"/>
    <x v="13"/>
    <s v="Car Loan EMI payment"/>
    <s v="Net Banking"/>
    <x v="533"/>
    <n v="12000"/>
    <s v="ICICI Credit Card"/>
    <x v="0"/>
    <n v="2971.7299999999996"/>
    <n v="-14971.73"/>
    <s v="Yes"/>
  </r>
  <r>
    <s v="TXN-20562"/>
    <x v="253"/>
    <s v="Oct-2024"/>
    <x v="1"/>
    <x v="7"/>
    <x v="7"/>
    <s v="Monthly Salary received"/>
    <s v="Net Banking"/>
    <x v="534"/>
    <n v="0"/>
    <s v="Cash Wallet"/>
    <x v="0"/>
    <s v="0"/>
    <n v="51590.89"/>
    <s v="Yes"/>
  </r>
  <r>
    <s v="TXN-20063"/>
    <x v="253"/>
    <s v="Oct-2024"/>
    <x v="0"/>
    <x v="0"/>
    <x v="0"/>
    <s v="Personal Loan EMI payment"/>
    <s v="UPI"/>
    <x v="535"/>
    <n v="12000"/>
    <s v="SBI Salary A/c"/>
    <x v="0"/>
    <n v="304.36000000000058"/>
    <n v="-12304.36"/>
    <s v="Yes"/>
  </r>
  <r>
    <s v="TXN-20160"/>
    <x v="253"/>
    <s v="Oct-2024"/>
    <x v="1"/>
    <x v="7"/>
    <x v="7"/>
    <s v="Monthly Salary received"/>
    <s v="UPI"/>
    <x v="536"/>
    <n v="0"/>
    <s v="SBI Salary A/c"/>
    <x v="0"/>
    <s v="0"/>
    <n v="50401.85"/>
    <s v="Yes"/>
  </r>
  <r>
    <s v="TXN-20549"/>
    <x v="254"/>
    <s v="Oct-2024"/>
    <x v="0"/>
    <x v="0"/>
    <x v="0"/>
    <s v="Personal Loan EMI payment"/>
    <s v="Credit Card"/>
    <x v="537"/>
    <n v="12000"/>
    <s v="HDFC Savings"/>
    <x v="0"/>
    <n v="-1716.8600000000006"/>
    <n v="-10283.14"/>
    <s v="No"/>
  </r>
  <r>
    <s v="TXN-20881"/>
    <x v="254"/>
    <s v="Oct-2024"/>
    <x v="0"/>
    <x v="3"/>
    <x v="23"/>
    <s v="Online Shopping payment"/>
    <s v="UPI"/>
    <x v="538"/>
    <n v="4000"/>
    <s v="ICICI Credit Card"/>
    <x v="1"/>
    <n v="695.4399999999996"/>
    <n v="-4695.4399999999996"/>
    <s v="Yes"/>
  </r>
  <r>
    <s v="TXN-20338"/>
    <x v="254"/>
    <s v="Oct-2024"/>
    <x v="0"/>
    <x v="11"/>
    <x v="28"/>
    <s v="Stocks payment"/>
    <s v="UPI"/>
    <x v="539"/>
    <n v="8000"/>
    <s v="SBI Salary A/c"/>
    <x v="0"/>
    <n v="-2918.5299999999997"/>
    <n v="-5081.47"/>
    <s v="No"/>
  </r>
  <r>
    <s v="TXN-20628"/>
    <x v="255"/>
    <s v="Oct-2024"/>
    <x v="0"/>
    <x v="5"/>
    <x v="5"/>
    <s v="House Rent payment"/>
    <s v="UPI"/>
    <x v="540"/>
    <n v="15000"/>
    <s v="HDFC Savings"/>
    <x v="0"/>
    <n v="1785.0999999999985"/>
    <n v="-16785.099999999999"/>
    <s v="Yes"/>
  </r>
  <r>
    <s v="TXN-20128"/>
    <x v="256"/>
    <s v="Nov-2024"/>
    <x v="0"/>
    <x v="5"/>
    <x v="5"/>
    <s v="House Rent payment"/>
    <s v="Net Banking"/>
    <x v="541"/>
    <n v="15000"/>
    <s v="HDFC Savings"/>
    <x v="0"/>
    <n v="-1302.8099999999995"/>
    <n v="-13697.19"/>
    <s v="No"/>
  </r>
  <r>
    <s v="TXN-20910"/>
    <x v="257"/>
    <s v="Nov-2024"/>
    <x v="0"/>
    <x v="1"/>
    <x v="9"/>
    <s v="Streaming Subscription payment"/>
    <s v="Credit Card"/>
    <x v="542"/>
    <n v="2500"/>
    <s v="Cash Wallet"/>
    <x v="1"/>
    <n v="-227.84000000000015"/>
    <n v="-2272.16"/>
    <s v="No"/>
  </r>
  <r>
    <s v="TXN-20908"/>
    <x v="257"/>
    <s v="Nov-2024"/>
    <x v="0"/>
    <x v="3"/>
    <x v="15"/>
    <s v="Clothing payment"/>
    <s v="UPI"/>
    <x v="543"/>
    <n v="4000"/>
    <s v="Cash Wallet"/>
    <x v="1"/>
    <n v="-792.57999999999993"/>
    <n v="-3207.42"/>
    <s v="No"/>
  </r>
  <r>
    <s v="TXN-20445"/>
    <x v="258"/>
    <s v="Nov-2024"/>
    <x v="0"/>
    <x v="6"/>
    <x v="11"/>
    <s v="Public Transport payment"/>
    <s v="Net Banking"/>
    <x v="544"/>
    <n v="3500"/>
    <s v="Cash Wallet"/>
    <x v="1"/>
    <n v="136.55999999999995"/>
    <n v="-3636.56"/>
    <s v="Yes"/>
  </r>
  <r>
    <s v="TXN-20533"/>
    <x v="259"/>
    <s v="Nov-2024"/>
    <x v="0"/>
    <x v="0"/>
    <x v="13"/>
    <s v="Car Loan EMI payment"/>
    <s v="UPI"/>
    <x v="545"/>
    <n v="12000"/>
    <s v="SBI Salary A/c"/>
    <x v="0"/>
    <n v="-5434.13"/>
    <n v="-6565.87"/>
    <s v="No"/>
  </r>
  <r>
    <s v="TXN-20336"/>
    <x v="259"/>
    <s v="Nov-2024"/>
    <x v="0"/>
    <x v="4"/>
    <x v="4"/>
    <s v="Supermarket payment"/>
    <s v="Credit Card"/>
    <x v="546"/>
    <n v="6000"/>
    <s v="ICICI Credit Card"/>
    <x v="0"/>
    <n v="-1850.08"/>
    <n v="-4149.92"/>
    <s v="No"/>
  </r>
  <r>
    <s v="TXN-20956"/>
    <x v="260"/>
    <s v="Nov-2024"/>
    <x v="0"/>
    <x v="10"/>
    <x v="17"/>
    <s v="Pharmacy payment"/>
    <s v="Credit Card"/>
    <x v="547"/>
    <n v="2000"/>
    <s v="HDFC Savings"/>
    <x v="0"/>
    <n v="-9.8699999999998909"/>
    <n v="-1990.13"/>
    <s v="No"/>
  </r>
  <r>
    <s v="TXN-20661"/>
    <x v="260"/>
    <s v="Nov-2024"/>
    <x v="0"/>
    <x v="3"/>
    <x v="23"/>
    <s v="Online Shopping payment"/>
    <s v="Net Banking"/>
    <x v="548"/>
    <n v="4000"/>
    <s v="HDFC Savings"/>
    <x v="1"/>
    <n v="-1189.1100000000001"/>
    <n v="-2810.89"/>
    <s v="No"/>
  </r>
  <r>
    <s v="TXN-20906"/>
    <x v="260"/>
    <s v="Nov-2024"/>
    <x v="1"/>
    <x v="7"/>
    <x v="7"/>
    <s v="Monthly Salary received"/>
    <s v="Cash"/>
    <x v="549"/>
    <n v="0"/>
    <s v="ICICI Credit Card"/>
    <x v="0"/>
    <s v="0"/>
    <n v="50433.95"/>
    <s v="Yes"/>
  </r>
  <r>
    <s v="TXN-20086"/>
    <x v="261"/>
    <s v="Nov-2024"/>
    <x v="1"/>
    <x v="7"/>
    <x v="7"/>
    <s v="Monthly Salary received"/>
    <s v="UPI"/>
    <x v="550"/>
    <n v="0"/>
    <s v="ICICI Credit Card"/>
    <x v="0"/>
    <s v="0"/>
    <n v="42681.7"/>
    <s v="Yes"/>
  </r>
  <r>
    <s v="TXN-20048"/>
    <x v="261"/>
    <s v="Nov-2024"/>
    <x v="1"/>
    <x v="7"/>
    <x v="7"/>
    <s v="Monthly Salary received"/>
    <s v="Debit Card"/>
    <x v="551"/>
    <n v="0"/>
    <s v="ICICI Credit Card"/>
    <x v="0"/>
    <s v="0"/>
    <n v="43893.57"/>
    <s v="Yes"/>
  </r>
  <r>
    <s v="TXN-20180"/>
    <x v="262"/>
    <s v="Nov-2024"/>
    <x v="0"/>
    <x v="3"/>
    <x v="23"/>
    <s v="Online Shopping payment"/>
    <s v="UPI"/>
    <x v="552"/>
    <n v="4000"/>
    <s v="SBI Salary A/c"/>
    <x v="1"/>
    <n v="-311.07000000000016"/>
    <n v="-3688.93"/>
    <s v="No"/>
  </r>
  <r>
    <s v="TXN-20065"/>
    <x v="262"/>
    <s v="Nov-2024"/>
    <x v="0"/>
    <x v="6"/>
    <x v="11"/>
    <s v="Public Transport payment"/>
    <s v="Credit Card"/>
    <x v="553"/>
    <n v="3500"/>
    <s v="ICICI Credit Card"/>
    <x v="1"/>
    <n v="-852.13999999999987"/>
    <n v="-2647.86"/>
    <s v="No"/>
  </r>
  <r>
    <s v="TXN-20042"/>
    <x v="263"/>
    <s v="Nov-2024"/>
    <x v="1"/>
    <x v="9"/>
    <x v="25"/>
    <s v="Consulting Fee received"/>
    <s v="Debit Card"/>
    <x v="554"/>
    <n v="0"/>
    <s v="ICICI Credit Card"/>
    <x v="1"/>
    <s v="0"/>
    <n v="14173.45"/>
    <s v="Yes"/>
  </r>
  <r>
    <s v="TXN-20841"/>
    <x v="263"/>
    <s v="Nov-2024"/>
    <x v="0"/>
    <x v="10"/>
    <x v="27"/>
    <s v="Doctor Visit payment"/>
    <s v="Credit Card"/>
    <x v="555"/>
    <n v="2000"/>
    <s v="SBI Salary A/c"/>
    <x v="1"/>
    <n v="-590.48"/>
    <n v="-1409.52"/>
    <s v="No"/>
  </r>
  <r>
    <s v="TXN-20817"/>
    <x v="263"/>
    <s v="Nov-2024"/>
    <x v="0"/>
    <x v="1"/>
    <x v="22"/>
    <s v="Outing payment"/>
    <s v="UPI"/>
    <x v="556"/>
    <n v="2500"/>
    <s v="ICICI Credit Card"/>
    <x v="1"/>
    <n v="-1175.22"/>
    <n v="-1324.78"/>
    <s v="No"/>
  </r>
  <r>
    <s v="TXN-20932"/>
    <x v="263"/>
    <s v="Nov-2024"/>
    <x v="0"/>
    <x v="1"/>
    <x v="1"/>
    <s v="Movies payment"/>
    <s v="Credit Card"/>
    <x v="557"/>
    <n v="2500"/>
    <s v="Cash Wallet"/>
    <x v="0"/>
    <n v="477.44999999999982"/>
    <n v="-2977.45"/>
    <s v="Yes"/>
  </r>
  <r>
    <s v="TXN-20555"/>
    <x v="264"/>
    <s v="Nov-2024"/>
    <x v="0"/>
    <x v="11"/>
    <x v="21"/>
    <s v="Fixed Deposit payment"/>
    <s v="UPI"/>
    <x v="558"/>
    <n v="8000"/>
    <s v="Cash Wallet"/>
    <x v="0"/>
    <n v="2168.4699999999993"/>
    <n v="-10168.469999999999"/>
    <s v="Yes"/>
  </r>
  <r>
    <s v="TXN-20412"/>
    <x v="264"/>
    <s v="Nov-2024"/>
    <x v="0"/>
    <x v="10"/>
    <x v="24"/>
    <s v="Health Insurance payment"/>
    <s v="Debit Card"/>
    <x v="559"/>
    <n v="2000"/>
    <s v="HDFC Savings"/>
    <x v="1"/>
    <n v="473.36999999999989"/>
    <n v="-2473.37"/>
    <s v="Yes"/>
  </r>
  <r>
    <s v="TXN-20213"/>
    <x v="264"/>
    <s v="Nov-2024"/>
    <x v="0"/>
    <x v="1"/>
    <x v="22"/>
    <s v="Outing payment"/>
    <s v="Net Banking"/>
    <x v="560"/>
    <n v="2500"/>
    <s v="ICICI Credit Card"/>
    <x v="1"/>
    <n v="-1086.81"/>
    <n v="-1413.19"/>
    <s v="No"/>
  </r>
  <r>
    <s v="TXN-20018"/>
    <x v="265"/>
    <s v="Nov-2024"/>
    <x v="0"/>
    <x v="10"/>
    <x v="17"/>
    <s v="Pharmacy payment"/>
    <s v="UPI"/>
    <x v="561"/>
    <n v="2000"/>
    <s v="Cash Wallet"/>
    <x v="1"/>
    <n v="-794.96"/>
    <n v="-1205.04"/>
    <s v="No"/>
  </r>
  <r>
    <s v="TXN-20475"/>
    <x v="265"/>
    <s v="Nov-2024"/>
    <x v="0"/>
    <x v="6"/>
    <x v="26"/>
    <s v="Fuel payment"/>
    <s v="Credit Card"/>
    <x v="562"/>
    <n v="3500"/>
    <s v="HDFC Savings"/>
    <x v="1"/>
    <n v="361.67999999999984"/>
    <n v="-3861.68"/>
    <s v="Yes"/>
  </r>
  <r>
    <s v="TXN-20840"/>
    <x v="266"/>
    <s v="Nov-2024"/>
    <x v="0"/>
    <x v="4"/>
    <x v="16"/>
    <s v="Local Market payment"/>
    <s v="Net Banking"/>
    <x v="563"/>
    <n v="6000"/>
    <s v="HDFC Savings"/>
    <x v="1"/>
    <n v="-494.82999999999993"/>
    <n v="-5505.17"/>
    <s v="No"/>
  </r>
  <r>
    <s v="TXN-20892"/>
    <x v="267"/>
    <s v="Nov-2024"/>
    <x v="0"/>
    <x v="1"/>
    <x v="22"/>
    <s v="Outing payment"/>
    <s v="Credit Card"/>
    <x v="564"/>
    <n v="2500"/>
    <s v="SBI Salary A/c"/>
    <x v="1"/>
    <n v="-1085.1500000000001"/>
    <n v="-1414.85"/>
    <s v="No"/>
  </r>
  <r>
    <s v="TXN-20367"/>
    <x v="267"/>
    <s v="Nov-2024"/>
    <x v="1"/>
    <x v="9"/>
    <x v="14"/>
    <s v="Project Payment received"/>
    <s v="Credit Card"/>
    <x v="565"/>
    <n v="0"/>
    <s v="ICICI Credit Card"/>
    <x v="1"/>
    <s v="0"/>
    <n v="9064.44"/>
    <s v="Yes"/>
  </r>
  <r>
    <s v="TXN-20505"/>
    <x v="268"/>
    <s v="Nov-2024"/>
    <x v="0"/>
    <x v="5"/>
    <x v="5"/>
    <s v="House Rent payment"/>
    <s v="UPI"/>
    <x v="566"/>
    <n v="15000"/>
    <s v="ICICI Credit Card"/>
    <x v="0"/>
    <n v="3799.8600000000006"/>
    <n v="-18799.86"/>
    <s v="Yes"/>
  </r>
  <r>
    <s v="TXN-20325"/>
    <x v="268"/>
    <s v="Nov-2024"/>
    <x v="0"/>
    <x v="3"/>
    <x v="15"/>
    <s v="Clothing payment"/>
    <s v="Net Banking"/>
    <x v="567"/>
    <n v="4000"/>
    <s v="ICICI Credit Card"/>
    <x v="1"/>
    <n v="-1405.9499999999998"/>
    <n v="-2594.0500000000002"/>
    <s v="No"/>
  </r>
  <r>
    <s v="TXN-20922"/>
    <x v="269"/>
    <s v="Nov-2024"/>
    <x v="0"/>
    <x v="3"/>
    <x v="15"/>
    <s v="Clothing payment"/>
    <s v="UPI"/>
    <x v="568"/>
    <n v="4000"/>
    <s v="HDFC Savings"/>
    <x v="0"/>
    <n v="-635.48999999999978"/>
    <n v="-3364.51"/>
    <s v="No"/>
  </r>
  <r>
    <s v="TXN-20872"/>
    <x v="269"/>
    <s v="Nov-2024"/>
    <x v="0"/>
    <x v="6"/>
    <x v="6"/>
    <s v="Cab/Taxi payment"/>
    <s v="UPI"/>
    <x v="569"/>
    <n v="3500"/>
    <s v="ICICI Credit Card"/>
    <x v="1"/>
    <n v="657.69999999999982"/>
    <n v="-4157.7"/>
    <s v="Yes"/>
  </r>
  <r>
    <s v="TXN-20458"/>
    <x v="269"/>
    <s v="Nov-2024"/>
    <x v="0"/>
    <x v="10"/>
    <x v="27"/>
    <s v="Doctor Visit payment"/>
    <s v="UPI"/>
    <x v="570"/>
    <n v="2000"/>
    <s v="HDFC Savings"/>
    <x v="1"/>
    <n v="-857.01"/>
    <n v="-1142.99"/>
    <s v="No"/>
  </r>
  <r>
    <s v="TXN-20510"/>
    <x v="269"/>
    <s v="Nov-2024"/>
    <x v="0"/>
    <x v="10"/>
    <x v="27"/>
    <s v="Doctor Visit payment"/>
    <s v="Credit Card"/>
    <x v="571"/>
    <n v="2000"/>
    <s v="SBI Salary A/c"/>
    <x v="1"/>
    <n v="-912.58999999999992"/>
    <n v="-1087.4100000000001"/>
    <s v="No"/>
  </r>
  <r>
    <s v="TXN-20418"/>
    <x v="270"/>
    <s v="Nov-2024"/>
    <x v="0"/>
    <x v="2"/>
    <x v="12"/>
    <s v="Mobile Recharge payment"/>
    <s v="Credit Card"/>
    <x v="572"/>
    <n v="3000"/>
    <s v="SBI Salary A/c"/>
    <x v="0"/>
    <n v="-783.05000000000018"/>
    <n v="-2216.9499999999998"/>
    <s v="No"/>
  </r>
  <r>
    <s v="TXN-20398"/>
    <x v="271"/>
    <s v="Nov-2024"/>
    <x v="1"/>
    <x v="7"/>
    <x v="7"/>
    <s v="Monthly Salary received"/>
    <s v="Debit Card"/>
    <x v="573"/>
    <n v="0"/>
    <s v="SBI Salary A/c"/>
    <x v="0"/>
    <s v="0"/>
    <n v="42970.09"/>
    <s v="Yes"/>
  </r>
  <r>
    <s v="TXN-20913"/>
    <x v="271"/>
    <s v="Nov-2024"/>
    <x v="0"/>
    <x v="11"/>
    <x v="28"/>
    <s v="Stocks payment"/>
    <s v="UPI"/>
    <x v="574"/>
    <n v="8000"/>
    <s v="ICICI Credit Card"/>
    <x v="0"/>
    <n v="-1169.9099999999999"/>
    <n v="-6830.09"/>
    <s v="No"/>
  </r>
  <r>
    <s v="TXN-20242"/>
    <x v="272"/>
    <s v="Nov-2024"/>
    <x v="0"/>
    <x v="3"/>
    <x v="23"/>
    <s v="Online Shopping payment"/>
    <s v="Cash"/>
    <x v="575"/>
    <n v="4000"/>
    <s v="HDFC Savings"/>
    <x v="0"/>
    <n v="-140.7199999999998"/>
    <n v="-3859.28"/>
    <s v="No"/>
  </r>
  <r>
    <s v="TXN-20934"/>
    <x v="272"/>
    <s v="Nov-2024"/>
    <x v="1"/>
    <x v="7"/>
    <x v="7"/>
    <s v="Monthly Salary received"/>
    <s v="UPI"/>
    <x v="576"/>
    <n v="0"/>
    <s v="HDFC Savings"/>
    <x v="0"/>
    <s v="0"/>
    <n v="42978.37"/>
    <s v="Yes"/>
  </r>
  <r>
    <s v="TXN-20827"/>
    <x v="273"/>
    <s v="Nov-2024"/>
    <x v="0"/>
    <x v="4"/>
    <x v="4"/>
    <s v="Supermarket payment"/>
    <s v="UPI"/>
    <x v="577"/>
    <n v="6000"/>
    <s v="SBI Salary A/c"/>
    <x v="1"/>
    <n v="-646.93000000000029"/>
    <n v="-5353.07"/>
    <s v="No"/>
  </r>
  <r>
    <s v="TXN-20973"/>
    <x v="273"/>
    <s v="Nov-2024"/>
    <x v="0"/>
    <x v="0"/>
    <x v="13"/>
    <s v="Car Loan EMI payment"/>
    <s v="Credit Card"/>
    <x v="578"/>
    <n v="12000"/>
    <s v="Cash Wallet"/>
    <x v="0"/>
    <n v="-5506.71"/>
    <n v="-6493.29"/>
    <s v="No"/>
  </r>
  <r>
    <s v="TXN-20450"/>
    <x v="274"/>
    <s v="Nov-2024"/>
    <x v="0"/>
    <x v="11"/>
    <x v="28"/>
    <s v="Stocks payment"/>
    <s v="Debit Card"/>
    <x v="579"/>
    <n v="8000"/>
    <s v="ICICI Credit Card"/>
    <x v="0"/>
    <n v="-562.97999999999956"/>
    <n v="-7437.02"/>
    <s v="No"/>
  </r>
  <r>
    <s v="TXN-20888"/>
    <x v="274"/>
    <s v="Nov-2024"/>
    <x v="0"/>
    <x v="10"/>
    <x v="27"/>
    <s v="Doctor Visit payment"/>
    <s v="Debit Card"/>
    <x v="580"/>
    <n v="2000"/>
    <s v="Cash Wallet"/>
    <x v="1"/>
    <n v="-130.13000000000011"/>
    <n v="-1869.87"/>
    <s v="No"/>
  </r>
  <r>
    <s v="TXN-20688"/>
    <x v="274"/>
    <s v="Nov-2024"/>
    <x v="0"/>
    <x v="5"/>
    <x v="5"/>
    <s v="House Rent payment"/>
    <s v="UPI"/>
    <x v="581"/>
    <n v="15000"/>
    <s v="HDFC Savings"/>
    <x v="0"/>
    <n v="-2350.0400000000009"/>
    <n v="-12649.96"/>
    <s v="No"/>
  </r>
  <r>
    <s v="TXN-20741"/>
    <x v="274"/>
    <s v="Nov-2024"/>
    <x v="0"/>
    <x v="0"/>
    <x v="8"/>
    <s v="Home Loan EMI payment"/>
    <s v="Net Banking"/>
    <x v="582"/>
    <n v="12000"/>
    <s v="Cash Wallet"/>
    <x v="0"/>
    <n v="1766.33"/>
    <n v="-13766.33"/>
    <s v="Yes"/>
  </r>
  <r>
    <s v="TXN-20133"/>
    <x v="275"/>
    <s v="Nov-2024"/>
    <x v="0"/>
    <x v="2"/>
    <x v="2"/>
    <s v="Internet Bill payment"/>
    <s v="Credit Card"/>
    <x v="583"/>
    <n v="3000"/>
    <s v="SBI Salary A/c"/>
    <x v="0"/>
    <n v="-411.75"/>
    <n v="-2588.25"/>
    <s v="No"/>
  </r>
  <r>
    <s v="TXN-20283"/>
    <x v="275"/>
    <s v="Nov-2024"/>
    <x v="0"/>
    <x v="1"/>
    <x v="22"/>
    <s v="Outing payment"/>
    <s v="Credit Card"/>
    <x v="584"/>
    <n v="2500"/>
    <s v="ICICI Credit Card"/>
    <x v="1"/>
    <n v="325.88000000000011"/>
    <n v="-2825.88"/>
    <s v="Yes"/>
  </r>
  <r>
    <s v="TXN-20615"/>
    <x v="276"/>
    <s v="Nov-2024"/>
    <x v="0"/>
    <x v="4"/>
    <x v="4"/>
    <s v="Supermarket payment"/>
    <s v="Credit Card"/>
    <x v="585"/>
    <n v="6000"/>
    <s v="Cash Wallet"/>
    <x v="0"/>
    <n v="424.35999999999967"/>
    <n v="-6424.36"/>
    <s v="Yes"/>
  </r>
  <r>
    <s v="TXN-20406"/>
    <x v="276"/>
    <s v="Nov-2024"/>
    <x v="1"/>
    <x v="7"/>
    <x v="7"/>
    <s v="Monthly Salary received"/>
    <s v="Credit Card"/>
    <x v="586"/>
    <n v="0"/>
    <s v="ICICI Credit Card"/>
    <x v="0"/>
    <s v="0"/>
    <n v="54377.99"/>
    <s v="Yes"/>
  </r>
  <r>
    <s v="TXN-20360"/>
    <x v="277"/>
    <s v="Nov-2024"/>
    <x v="0"/>
    <x v="11"/>
    <x v="21"/>
    <s v="Fixed Deposit payment"/>
    <s v="Credit Card"/>
    <x v="587"/>
    <n v="8000"/>
    <s v="ICICI Credit Card"/>
    <x v="0"/>
    <n v="2163.67"/>
    <n v="-10163.67"/>
    <s v="Yes"/>
  </r>
  <r>
    <s v="TXN-20799"/>
    <x v="278"/>
    <s v="Nov-2024"/>
    <x v="0"/>
    <x v="11"/>
    <x v="19"/>
    <s v="Mutual Fund SIP payment"/>
    <s v="Net Banking"/>
    <x v="588"/>
    <n v="8000"/>
    <s v="Cash Wallet"/>
    <x v="0"/>
    <n v="2357.7000000000007"/>
    <n v="-10357.700000000001"/>
    <s v="Yes"/>
  </r>
  <r>
    <s v="TXN-20016"/>
    <x v="278"/>
    <s v="Nov-2024"/>
    <x v="0"/>
    <x v="11"/>
    <x v="21"/>
    <s v="Fixed Deposit payment"/>
    <s v="Debit Card"/>
    <x v="589"/>
    <n v="8000"/>
    <s v="Cash Wallet"/>
    <x v="0"/>
    <n v="2038.8899999999994"/>
    <n v="-10038.89"/>
    <s v="Yes"/>
  </r>
  <r>
    <s v="TXN-20110"/>
    <x v="278"/>
    <s v="Nov-2024"/>
    <x v="0"/>
    <x v="1"/>
    <x v="9"/>
    <s v="Streaming Subscription payment"/>
    <s v="Credit Card"/>
    <x v="590"/>
    <n v="2500"/>
    <s v="HDFC Savings"/>
    <x v="1"/>
    <n v="-941.56"/>
    <n v="-1558.44"/>
    <s v="No"/>
  </r>
  <r>
    <s v="TXN-20460"/>
    <x v="278"/>
    <s v="Nov-2024"/>
    <x v="0"/>
    <x v="6"/>
    <x v="6"/>
    <s v="Cab/Taxi payment"/>
    <s v="UPI"/>
    <x v="591"/>
    <n v="3500"/>
    <s v="HDFC Savings"/>
    <x v="1"/>
    <n v="-676.31"/>
    <n v="-2823.69"/>
    <s v="No"/>
  </r>
  <r>
    <s v="TXN-20100"/>
    <x v="279"/>
    <s v="Nov-2024"/>
    <x v="0"/>
    <x v="0"/>
    <x v="8"/>
    <s v="Home Loan EMI payment"/>
    <s v="UPI"/>
    <x v="592"/>
    <n v="12000"/>
    <s v="HDFC Savings"/>
    <x v="0"/>
    <n v="-1060.9099999999999"/>
    <n v="-10939.09"/>
    <s v="No"/>
  </r>
  <r>
    <s v="TXN-20541"/>
    <x v="279"/>
    <s v="Nov-2024"/>
    <x v="1"/>
    <x v="9"/>
    <x v="14"/>
    <s v="Project Payment received"/>
    <s v="Credit Card"/>
    <x v="593"/>
    <n v="0"/>
    <s v="Cash Wallet"/>
    <x v="0"/>
    <s v="0"/>
    <n v="14282.23"/>
    <s v="Yes"/>
  </r>
  <r>
    <s v="TXN-20015"/>
    <x v="279"/>
    <s v="Nov-2024"/>
    <x v="0"/>
    <x v="1"/>
    <x v="9"/>
    <s v="Streaming Subscription payment"/>
    <s v="UPI"/>
    <x v="594"/>
    <n v="2500"/>
    <s v="Cash Wallet"/>
    <x v="1"/>
    <n v="184.48000000000002"/>
    <n v="-2684.48"/>
    <s v="Yes"/>
  </r>
  <r>
    <s v="TXN-20124"/>
    <x v="280"/>
    <s v="Nov-2024"/>
    <x v="0"/>
    <x v="11"/>
    <x v="28"/>
    <s v="Stocks payment"/>
    <s v="Credit Card"/>
    <x v="595"/>
    <n v="8000"/>
    <s v="Cash Wallet"/>
    <x v="0"/>
    <n v="1235.4400000000005"/>
    <n v="-9235.44"/>
    <s v="Yes"/>
  </r>
  <r>
    <s v="TXN-20203"/>
    <x v="280"/>
    <s v="Nov-2024"/>
    <x v="0"/>
    <x v="4"/>
    <x v="4"/>
    <s v="Supermarket payment"/>
    <s v="Net Banking"/>
    <x v="596"/>
    <n v="6000"/>
    <s v="Cash Wallet"/>
    <x v="1"/>
    <n v="867.21"/>
    <n v="-6867.21"/>
    <s v="Yes"/>
  </r>
  <r>
    <s v="TXN-20378"/>
    <x v="280"/>
    <s v="Nov-2024"/>
    <x v="0"/>
    <x v="6"/>
    <x v="26"/>
    <s v="Fuel payment"/>
    <s v="UPI"/>
    <x v="597"/>
    <n v="3500"/>
    <s v="ICICI Credit Card"/>
    <x v="1"/>
    <n v="523.19999999999982"/>
    <n v="-4023.2"/>
    <s v="Yes"/>
  </r>
  <r>
    <s v="TXN-20528"/>
    <x v="281"/>
    <s v="Dec-2024"/>
    <x v="0"/>
    <x v="0"/>
    <x v="8"/>
    <s v="Home Loan EMI payment"/>
    <s v="Credit Card"/>
    <x v="598"/>
    <n v="12000"/>
    <s v="Cash Wallet"/>
    <x v="0"/>
    <n v="-5255.01"/>
    <n v="-6744.99"/>
    <s v="No"/>
  </r>
  <r>
    <s v="TXN-20281"/>
    <x v="281"/>
    <s v="Dec-2024"/>
    <x v="0"/>
    <x v="0"/>
    <x v="0"/>
    <s v="Personal Loan EMI payment"/>
    <s v="Cash"/>
    <x v="599"/>
    <n v="12000"/>
    <s v="Cash Wallet"/>
    <x v="0"/>
    <n v="1655.1599999999999"/>
    <n v="-13655.16"/>
    <s v="Yes"/>
  </r>
  <r>
    <s v="TXN-20098"/>
    <x v="281"/>
    <s v="Dec-2024"/>
    <x v="1"/>
    <x v="9"/>
    <x v="14"/>
    <s v="Project Payment received"/>
    <s v="Credit Card"/>
    <x v="600"/>
    <n v="0"/>
    <s v="Cash Wallet"/>
    <x v="1"/>
    <s v="0"/>
    <n v="10430.83"/>
    <s v="Yes"/>
  </r>
  <r>
    <s v="TXN-20221"/>
    <x v="282"/>
    <s v="Dec-2024"/>
    <x v="1"/>
    <x v="9"/>
    <x v="14"/>
    <s v="Project Payment received"/>
    <s v="Debit Card"/>
    <x v="601"/>
    <n v="0"/>
    <s v="HDFC Savings"/>
    <x v="0"/>
    <s v="0"/>
    <n v="11642.83"/>
    <s v="Yes"/>
  </r>
  <r>
    <s v="TXN-20129"/>
    <x v="282"/>
    <s v="Dec-2024"/>
    <x v="1"/>
    <x v="7"/>
    <x v="7"/>
    <s v="Monthly Salary received"/>
    <s v="Credit Card"/>
    <x v="602"/>
    <n v="0"/>
    <s v="ICICI Credit Card"/>
    <x v="0"/>
    <s v="0"/>
    <n v="43566.5"/>
    <s v="Yes"/>
  </r>
  <r>
    <s v="TXN-20385"/>
    <x v="282"/>
    <s v="Dec-2024"/>
    <x v="0"/>
    <x v="11"/>
    <x v="21"/>
    <s v="Fixed Deposit payment"/>
    <s v="Debit Card"/>
    <x v="603"/>
    <n v="8000"/>
    <s v="Cash Wallet"/>
    <x v="0"/>
    <n v="-1515.1800000000003"/>
    <n v="-6484.82"/>
    <s v="No"/>
  </r>
  <r>
    <s v="TXN-20608"/>
    <x v="282"/>
    <s v="Dec-2024"/>
    <x v="1"/>
    <x v="7"/>
    <x v="7"/>
    <s v="Monthly Salary received"/>
    <s v="UPI"/>
    <x v="604"/>
    <n v="0"/>
    <s v="ICICI Credit Card"/>
    <x v="0"/>
    <s v="0"/>
    <n v="50903.46"/>
    <s v="Yes"/>
  </r>
  <r>
    <s v="TXN-20038"/>
    <x v="283"/>
    <s v="Dec-2024"/>
    <x v="0"/>
    <x v="4"/>
    <x v="4"/>
    <s v="Supermarket payment"/>
    <s v="UPI"/>
    <x v="605"/>
    <n v="6000"/>
    <s v="Cash Wallet"/>
    <x v="1"/>
    <n v="1297.7600000000002"/>
    <n v="-7297.76"/>
    <s v="Yes"/>
  </r>
  <r>
    <s v="TXN-20408"/>
    <x v="283"/>
    <s v="Dec-2024"/>
    <x v="0"/>
    <x v="1"/>
    <x v="22"/>
    <s v="Outing payment"/>
    <s v="Credit Card"/>
    <x v="606"/>
    <n v="2500"/>
    <s v="Cash Wallet"/>
    <x v="0"/>
    <n v="397.82999999999993"/>
    <n v="-2897.83"/>
    <s v="Yes"/>
  </r>
  <r>
    <s v="TXN-20388"/>
    <x v="283"/>
    <s v="Dec-2024"/>
    <x v="1"/>
    <x v="7"/>
    <x v="7"/>
    <s v="Monthly Salary received"/>
    <s v="Credit Card"/>
    <x v="607"/>
    <n v="0"/>
    <s v="Cash Wallet"/>
    <x v="0"/>
    <s v="0"/>
    <n v="43665.84"/>
    <s v="Yes"/>
  </r>
  <r>
    <s v="TXN-20537"/>
    <x v="283"/>
    <s v="Dec-2024"/>
    <x v="0"/>
    <x v="1"/>
    <x v="1"/>
    <s v="Movies payment"/>
    <s v="UPI"/>
    <x v="608"/>
    <n v="2500"/>
    <s v="SBI Salary A/c"/>
    <x v="1"/>
    <n v="-362.15000000000009"/>
    <n v="-2137.85"/>
    <s v="No"/>
  </r>
  <r>
    <s v="TXN-20248"/>
    <x v="283"/>
    <s v="Dec-2024"/>
    <x v="0"/>
    <x v="6"/>
    <x v="11"/>
    <s v="Public Transport payment"/>
    <s v="UPI"/>
    <x v="609"/>
    <n v="3500"/>
    <s v="Cash Wallet"/>
    <x v="1"/>
    <n v="347.7199999999998"/>
    <n v="-3847.72"/>
    <s v="Yes"/>
  </r>
  <r>
    <s v="TXN-20587"/>
    <x v="284"/>
    <s v="Dec-2024"/>
    <x v="0"/>
    <x v="0"/>
    <x v="8"/>
    <s v="Home Loan EMI payment"/>
    <s v="Credit Card"/>
    <x v="610"/>
    <n v="12000"/>
    <s v="Cash Wallet"/>
    <x v="0"/>
    <n v="3311.8700000000008"/>
    <n v="-15311.87"/>
    <s v="Yes"/>
  </r>
  <r>
    <s v="TXN-20969"/>
    <x v="284"/>
    <s v="Dec-2024"/>
    <x v="0"/>
    <x v="4"/>
    <x v="16"/>
    <s v="Local Market payment"/>
    <s v="UPI"/>
    <x v="611"/>
    <n v="6000"/>
    <s v="Cash Wallet"/>
    <x v="1"/>
    <n v="845.72000000000025"/>
    <n v="-6845.72"/>
    <s v="Yes"/>
  </r>
  <r>
    <s v="TXN-20189"/>
    <x v="284"/>
    <s v="Dec-2024"/>
    <x v="0"/>
    <x v="5"/>
    <x v="5"/>
    <s v="House Rent payment"/>
    <s v="Cash"/>
    <x v="612"/>
    <n v="15000"/>
    <s v="HDFC Savings"/>
    <x v="0"/>
    <n v="-3640.4599999999991"/>
    <n v="-11359.54"/>
    <s v="No"/>
  </r>
  <r>
    <s v="TXN-20929"/>
    <x v="284"/>
    <s v="Dec-2024"/>
    <x v="0"/>
    <x v="4"/>
    <x v="16"/>
    <s v="Local Market payment"/>
    <s v="Debit Card"/>
    <x v="613"/>
    <n v="6000"/>
    <s v="ICICI Credit Card"/>
    <x v="1"/>
    <n v="1087.5100000000002"/>
    <n v="-7087.51"/>
    <s v="Yes"/>
  </r>
  <r>
    <s v="TXN-20566"/>
    <x v="285"/>
    <s v="Dec-2024"/>
    <x v="0"/>
    <x v="3"/>
    <x v="3"/>
    <s v="Electronics payment"/>
    <s v="UPI"/>
    <x v="614"/>
    <n v="4000"/>
    <s v="HDFC Savings"/>
    <x v="1"/>
    <n v="-643.65999999999985"/>
    <n v="-3356.34"/>
    <s v="No"/>
  </r>
  <r>
    <s v="TXN-20400"/>
    <x v="285"/>
    <s v="Dec-2024"/>
    <x v="0"/>
    <x v="6"/>
    <x v="26"/>
    <s v="Fuel payment"/>
    <s v="UPI"/>
    <x v="615"/>
    <n v="3500"/>
    <s v="HDFC Savings"/>
    <x v="1"/>
    <n v="786.26000000000022"/>
    <n v="-4286.26"/>
    <s v="Yes"/>
  </r>
  <r>
    <s v="TXN-20756"/>
    <x v="285"/>
    <s v="Dec-2024"/>
    <x v="1"/>
    <x v="7"/>
    <x v="7"/>
    <s v="Monthly Salary received"/>
    <s v="UPI"/>
    <x v="616"/>
    <n v="0"/>
    <s v="Cash Wallet"/>
    <x v="0"/>
    <s v="0"/>
    <n v="49281.45"/>
    <s v="Yes"/>
  </r>
  <r>
    <s v="TXN-20441"/>
    <x v="286"/>
    <s v="Dec-2024"/>
    <x v="0"/>
    <x v="0"/>
    <x v="13"/>
    <s v="Car Loan EMI payment"/>
    <s v="Credit Card"/>
    <x v="617"/>
    <n v="12000"/>
    <s v="Cash Wallet"/>
    <x v="0"/>
    <n v="-2962.1100000000006"/>
    <n v="-9037.89"/>
    <s v="No"/>
  </r>
  <r>
    <s v="TXN-20664"/>
    <x v="287"/>
    <s v="Dec-2024"/>
    <x v="0"/>
    <x v="8"/>
    <x v="10"/>
    <s v="Books payment"/>
    <s v="UPI"/>
    <x v="618"/>
    <n v="2000"/>
    <s v="HDFC Savings"/>
    <x v="1"/>
    <n v="-917.61999999999989"/>
    <n v="-1082.3800000000001"/>
    <s v="No"/>
  </r>
  <r>
    <s v="TXN-20299"/>
    <x v="287"/>
    <s v="Dec-2024"/>
    <x v="0"/>
    <x v="8"/>
    <x v="20"/>
    <s v="Course Fee payment"/>
    <s v="UPI"/>
    <x v="619"/>
    <n v="2000"/>
    <s v="Cash Wallet"/>
    <x v="1"/>
    <n v="-102.88000000000011"/>
    <n v="-1897.12"/>
    <s v="No"/>
  </r>
  <r>
    <s v="TXN-20487"/>
    <x v="287"/>
    <s v="Dec-2024"/>
    <x v="0"/>
    <x v="11"/>
    <x v="21"/>
    <s v="Fixed Deposit payment"/>
    <s v="Net Banking"/>
    <x v="620"/>
    <n v="8000"/>
    <s v="HDFC Savings"/>
    <x v="0"/>
    <n v="2364.3999999999996"/>
    <n v="-10364.4"/>
    <s v="Yes"/>
  </r>
  <r>
    <s v="TXN-20067"/>
    <x v="287"/>
    <s v="Dec-2024"/>
    <x v="0"/>
    <x v="4"/>
    <x v="16"/>
    <s v="Local Market payment"/>
    <s v="UPI"/>
    <x v="621"/>
    <n v="6000"/>
    <s v="ICICI Credit Card"/>
    <x v="0"/>
    <n v="286.36999999999989"/>
    <n v="-6286.37"/>
    <s v="Yes"/>
  </r>
  <r>
    <s v="TXN-20106"/>
    <x v="288"/>
    <s v="Dec-2024"/>
    <x v="0"/>
    <x v="0"/>
    <x v="8"/>
    <s v="Home Loan EMI payment"/>
    <s v="UPI"/>
    <x v="622"/>
    <n v="12000"/>
    <s v="SBI Salary A/c"/>
    <x v="0"/>
    <n v="-2891.3099999999995"/>
    <n v="-9108.69"/>
    <s v="No"/>
  </r>
  <r>
    <s v="TXN-20206"/>
    <x v="288"/>
    <s v="Dec-2024"/>
    <x v="0"/>
    <x v="3"/>
    <x v="3"/>
    <s v="Electronics payment"/>
    <s v="Credit Card"/>
    <x v="623"/>
    <n v="4000"/>
    <s v="SBI Salary A/c"/>
    <x v="0"/>
    <n v="422.60000000000036"/>
    <n v="-4422.6000000000004"/>
    <s v="Yes"/>
  </r>
  <r>
    <s v="TXN-20397"/>
    <x v="289"/>
    <s v="Dec-2024"/>
    <x v="0"/>
    <x v="3"/>
    <x v="23"/>
    <s v="Online Shopping payment"/>
    <s v="Net Banking"/>
    <x v="624"/>
    <n v="4000"/>
    <s v="ICICI Credit Card"/>
    <x v="1"/>
    <n v="577.40999999999985"/>
    <n v="-4577.41"/>
    <s v="Yes"/>
  </r>
  <r>
    <s v="TXN-20773"/>
    <x v="289"/>
    <s v="Dec-2024"/>
    <x v="0"/>
    <x v="4"/>
    <x v="4"/>
    <s v="Supermarket payment"/>
    <s v="UPI"/>
    <x v="625"/>
    <n v="6000"/>
    <s v="SBI Salary A/c"/>
    <x v="1"/>
    <n v="-1614.1400000000003"/>
    <n v="-4385.8599999999997"/>
    <s v="No"/>
  </r>
  <r>
    <s v="TXN-20571"/>
    <x v="290"/>
    <s v="Dec-2024"/>
    <x v="0"/>
    <x v="8"/>
    <x v="20"/>
    <s v="Course Fee payment"/>
    <s v="Net Banking"/>
    <x v="626"/>
    <n v="2000"/>
    <s v="ICICI Credit Card"/>
    <x v="1"/>
    <n v="-67.759999999999991"/>
    <n v="-1932.24"/>
    <s v="No"/>
  </r>
  <r>
    <s v="TXN-20451"/>
    <x v="291"/>
    <s v="Dec-2024"/>
    <x v="0"/>
    <x v="10"/>
    <x v="24"/>
    <s v="Health Insurance payment"/>
    <s v="UPI"/>
    <x v="627"/>
    <n v="2000"/>
    <s v="HDFC Savings"/>
    <x v="1"/>
    <n v="51.380000000000109"/>
    <n v="-2051.38"/>
    <s v="Yes"/>
  </r>
  <r>
    <s v="TXN-20621"/>
    <x v="291"/>
    <s v="Dec-2024"/>
    <x v="0"/>
    <x v="4"/>
    <x v="16"/>
    <s v="Local Market payment"/>
    <s v="UPI"/>
    <x v="628"/>
    <n v="6000"/>
    <s v="Cash Wallet"/>
    <x v="1"/>
    <n v="-576.64999999999964"/>
    <n v="-5423.35"/>
    <s v="No"/>
  </r>
  <r>
    <s v="TXN-20117"/>
    <x v="291"/>
    <s v="Dec-2024"/>
    <x v="0"/>
    <x v="5"/>
    <x v="5"/>
    <s v="House Rent payment"/>
    <s v="Net Banking"/>
    <x v="629"/>
    <n v="15000"/>
    <s v="ICICI Credit Card"/>
    <x v="0"/>
    <n v="1261.25"/>
    <n v="-16261.25"/>
    <s v="Yes"/>
  </r>
  <r>
    <s v="TXN-20873"/>
    <x v="292"/>
    <s v="Dec-2024"/>
    <x v="0"/>
    <x v="10"/>
    <x v="27"/>
    <s v="Doctor Visit payment"/>
    <s v="UPI"/>
    <x v="630"/>
    <n v="2000"/>
    <s v="Cash Wallet"/>
    <x v="1"/>
    <n v="-8.5099999999999909"/>
    <n v="-1991.49"/>
    <s v="No"/>
  </r>
  <r>
    <s v="TXN-20466"/>
    <x v="292"/>
    <s v="Dec-2024"/>
    <x v="0"/>
    <x v="6"/>
    <x v="6"/>
    <s v="Cab/Taxi payment"/>
    <s v="UPI"/>
    <x v="631"/>
    <n v="3500"/>
    <s v="ICICI Credit Card"/>
    <x v="1"/>
    <n v="374.82999999999993"/>
    <n v="-3874.83"/>
    <s v="Yes"/>
  </r>
  <r>
    <s v="TXN-20826"/>
    <x v="293"/>
    <s v="Dec-2024"/>
    <x v="0"/>
    <x v="3"/>
    <x v="23"/>
    <s v="Online Shopping payment"/>
    <s v="Debit Card"/>
    <x v="632"/>
    <n v="4000"/>
    <s v="SBI Salary A/c"/>
    <x v="0"/>
    <n v="491.1899999999996"/>
    <n v="-4491.1899999999996"/>
    <s v="Yes"/>
  </r>
  <r>
    <s v="TXN-20514"/>
    <x v="293"/>
    <s v="Dec-2024"/>
    <x v="0"/>
    <x v="4"/>
    <x v="4"/>
    <s v="Supermarket payment"/>
    <s v="UPI"/>
    <x v="633"/>
    <n v="6000"/>
    <s v="ICICI Credit Card"/>
    <x v="1"/>
    <n v="-2425.5500000000002"/>
    <n v="-3574.45"/>
    <s v="No"/>
  </r>
  <r>
    <s v="TXN-20698"/>
    <x v="293"/>
    <s v="Dec-2024"/>
    <x v="0"/>
    <x v="3"/>
    <x v="15"/>
    <s v="Clothing payment"/>
    <s v="Debit Card"/>
    <x v="634"/>
    <n v="4000"/>
    <s v="SBI Salary A/c"/>
    <x v="1"/>
    <n v="-1122.48"/>
    <n v="-2877.52"/>
    <s v="No"/>
  </r>
  <r>
    <s v="TXN-20856"/>
    <x v="293"/>
    <s v="Dec-2024"/>
    <x v="0"/>
    <x v="11"/>
    <x v="19"/>
    <s v="Mutual Fund SIP payment"/>
    <s v="UPI"/>
    <x v="635"/>
    <n v="8000"/>
    <s v="HDFC Savings"/>
    <x v="0"/>
    <n v="687.1299999999992"/>
    <n v="-8687.1299999999992"/>
    <s v="Yes"/>
  </r>
  <r>
    <s v="TXN-20641"/>
    <x v="293"/>
    <s v="Dec-2024"/>
    <x v="0"/>
    <x v="3"/>
    <x v="15"/>
    <s v="Clothing payment"/>
    <s v="UPI"/>
    <x v="636"/>
    <n v="4000"/>
    <s v="ICICI Credit Card"/>
    <x v="1"/>
    <n v="671.05000000000018"/>
    <n v="-4671.05"/>
    <s v="Yes"/>
  </r>
  <r>
    <s v="TXN-20113"/>
    <x v="293"/>
    <s v="Dec-2024"/>
    <x v="0"/>
    <x v="6"/>
    <x v="11"/>
    <s v="Public Transport payment"/>
    <s v="UPI"/>
    <x v="637"/>
    <n v="3500"/>
    <s v="ICICI Credit Card"/>
    <x v="1"/>
    <n v="32.570000000000164"/>
    <n v="-3532.57"/>
    <s v="Yes"/>
  </r>
  <r>
    <s v="TXN-20705"/>
    <x v="293"/>
    <s v="Dec-2024"/>
    <x v="0"/>
    <x v="5"/>
    <x v="5"/>
    <s v="House Rent payment"/>
    <s v="Credit Card"/>
    <x v="638"/>
    <n v="15000"/>
    <s v="ICICI Credit Card"/>
    <x v="0"/>
    <n v="-6612.17"/>
    <n v="-8387.83"/>
    <s v="No"/>
  </r>
  <r>
    <s v="TXN-20486"/>
    <x v="294"/>
    <s v="Dec-2024"/>
    <x v="0"/>
    <x v="8"/>
    <x v="20"/>
    <s v="Course Fee payment"/>
    <s v="Debit Card"/>
    <x v="639"/>
    <n v="2000"/>
    <s v="HDFC Savings"/>
    <x v="1"/>
    <n v="37.220000000000027"/>
    <n v="-2037.22"/>
    <s v="Yes"/>
  </r>
  <r>
    <s v="TXN-20163"/>
    <x v="294"/>
    <s v="Dec-2024"/>
    <x v="0"/>
    <x v="6"/>
    <x v="6"/>
    <s v="Cab/Taxi payment"/>
    <s v="Credit Card"/>
    <x v="640"/>
    <n v="3500"/>
    <s v="ICICI Credit Card"/>
    <x v="1"/>
    <n v="967.85999999999967"/>
    <n v="-4467.8599999999997"/>
    <s v="Yes"/>
  </r>
  <r>
    <s v="TXN-20557"/>
    <x v="295"/>
    <s v="Dec-2024"/>
    <x v="0"/>
    <x v="1"/>
    <x v="9"/>
    <s v="Streaming Subscription payment"/>
    <s v="UPI"/>
    <x v="641"/>
    <n v="2500"/>
    <s v="ICICI Credit Card"/>
    <x v="0"/>
    <n v="-502.94000000000005"/>
    <n v="-1997.06"/>
    <s v="No"/>
  </r>
  <r>
    <s v="TXN-20962"/>
    <x v="296"/>
    <s v="Dec-2024"/>
    <x v="0"/>
    <x v="1"/>
    <x v="22"/>
    <s v="Outing payment"/>
    <s v="UPI"/>
    <x v="642"/>
    <n v="2500"/>
    <s v="HDFC Savings"/>
    <x v="1"/>
    <n v="507.96000000000004"/>
    <n v="-3007.96"/>
    <s v="Yes"/>
  </r>
  <r>
    <s v="TXN-20302"/>
    <x v="296"/>
    <s v="Dec-2024"/>
    <x v="0"/>
    <x v="11"/>
    <x v="21"/>
    <s v="Fixed Deposit payment"/>
    <s v="Credit Card"/>
    <x v="643"/>
    <n v="8000"/>
    <s v="HDFC Savings"/>
    <x v="0"/>
    <n v="-1903.3599999999997"/>
    <n v="-6096.64"/>
    <s v="No"/>
  </r>
  <r>
    <s v="TXN-20273"/>
    <x v="296"/>
    <s v="Dec-2024"/>
    <x v="0"/>
    <x v="1"/>
    <x v="22"/>
    <s v="Outing payment"/>
    <s v="Cash"/>
    <x v="644"/>
    <n v="2500"/>
    <s v="Cash Wallet"/>
    <x v="1"/>
    <n v="360.82000000000016"/>
    <n v="-2860.82"/>
    <s v="Yes"/>
  </r>
  <r>
    <s v="TXN-20822"/>
    <x v="297"/>
    <s v="Dec-2024"/>
    <x v="0"/>
    <x v="0"/>
    <x v="8"/>
    <s v="Home Loan EMI payment"/>
    <s v="Debit Card"/>
    <x v="645"/>
    <n v="12000"/>
    <s v="SBI Salary A/c"/>
    <x v="0"/>
    <n v="2076.5400000000009"/>
    <n v="-14076.54"/>
    <s v="Yes"/>
  </r>
  <r>
    <s v="TXN-20809"/>
    <x v="297"/>
    <s v="Dec-2024"/>
    <x v="0"/>
    <x v="8"/>
    <x v="10"/>
    <s v="Books payment"/>
    <s v="Credit Card"/>
    <x v="646"/>
    <n v="2000"/>
    <s v="Cash Wallet"/>
    <x v="1"/>
    <n v="-753.40000000000009"/>
    <n v="-1246.5999999999999"/>
    <s v="No"/>
  </r>
  <r>
    <s v="TXN-20991"/>
    <x v="297"/>
    <s v="Dec-2024"/>
    <x v="0"/>
    <x v="5"/>
    <x v="5"/>
    <s v="House Rent payment"/>
    <s v="Net Banking"/>
    <x v="647"/>
    <n v="15000"/>
    <s v="SBI Salary A/c"/>
    <x v="0"/>
    <n v="-4909.07"/>
    <n v="-10090.93"/>
    <s v="No"/>
  </r>
  <r>
    <s v="TXN-20207"/>
    <x v="297"/>
    <s v="Dec-2024"/>
    <x v="0"/>
    <x v="1"/>
    <x v="9"/>
    <s v="Streaming Subscription payment"/>
    <s v="Cash"/>
    <x v="648"/>
    <n v="2500"/>
    <s v="ICICI Credit Card"/>
    <x v="1"/>
    <n v="657.67000000000007"/>
    <n v="-3157.67"/>
    <s v="Yes"/>
  </r>
  <r>
    <s v="TXN-20085"/>
    <x v="298"/>
    <s v="Dec-2024"/>
    <x v="0"/>
    <x v="5"/>
    <x v="5"/>
    <s v="House Rent payment"/>
    <s v="Debit Card"/>
    <x v="649"/>
    <n v="15000"/>
    <s v="SBI Salary A/c"/>
    <x v="0"/>
    <n v="1123.8700000000008"/>
    <n v="-16123.87"/>
    <s v="Yes"/>
  </r>
  <r>
    <s v="TXN-20372"/>
    <x v="298"/>
    <s v="Dec-2024"/>
    <x v="0"/>
    <x v="11"/>
    <x v="28"/>
    <s v="Stocks payment"/>
    <s v="Net Banking"/>
    <x v="650"/>
    <n v="8000"/>
    <s v="ICICI Credit Card"/>
    <x v="0"/>
    <n v="1447.0599999999995"/>
    <n v="-9447.06"/>
    <s v="Yes"/>
  </r>
  <r>
    <s v="TXN-20746"/>
    <x v="299"/>
    <s v="Dec-2024"/>
    <x v="0"/>
    <x v="0"/>
    <x v="8"/>
    <s v="Home Loan EMI payment"/>
    <s v="Credit Card"/>
    <x v="651"/>
    <n v="12000"/>
    <s v="SBI Salary A/c"/>
    <x v="0"/>
    <n v="-3745.3500000000004"/>
    <n v="-8254.65"/>
    <s v="No"/>
  </r>
  <r>
    <s v="TXN-20797"/>
    <x v="300"/>
    <s v="Dec-2024"/>
    <x v="0"/>
    <x v="2"/>
    <x v="12"/>
    <s v="Mobile Recharge payment"/>
    <s v="Credit Card"/>
    <x v="652"/>
    <n v="3000"/>
    <s v="HDFC Savings"/>
    <x v="0"/>
    <n v="-891.90000000000009"/>
    <n v="-2108.1"/>
    <s v="No"/>
  </r>
  <r>
    <s v="TXN-20645"/>
    <x v="300"/>
    <s v="Dec-2024"/>
    <x v="1"/>
    <x v="7"/>
    <x v="7"/>
    <s v="Monthly Salary received"/>
    <s v="Credit Card"/>
    <x v="653"/>
    <n v="0"/>
    <s v="HDFC Savings"/>
    <x v="0"/>
    <s v="0"/>
    <n v="48801.59"/>
    <s v="Yes"/>
  </r>
  <r>
    <s v="TXN-20211"/>
    <x v="301"/>
    <s v="Dec-2024"/>
    <x v="0"/>
    <x v="2"/>
    <x v="12"/>
    <s v="Mobile Recharge payment"/>
    <s v="Net Banking"/>
    <x v="654"/>
    <n v="3000"/>
    <s v="HDFC Savings"/>
    <x v="0"/>
    <n v="-1410.51"/>
    <n v="-1589.49"/>
    <s v="No"/>
  </r>
  <r>
    <s v="TXN-20351"/>
    <x v="301"/>
    <s v="Dec-2024"/>
    <x v="0"/>
    <x v="6"/>
    <x v="26"/>
    <s v="Fuel payment"/>
    <s v="Net Banking"/>
    <x v="655"/>
    <n v="3500"/>
    <s v="ICICI Credit Card"/>
    <x v="1"/>
    <n v="768.82999999999993"/>
    <n v="-4268.83"/>
    <s v="Yes"/>
  </r>
  <r>
    <s v="TXN-20736"/>
    <x v="301"/>
    <s v="Dec-2024"/>
    <x v="0"/>
    <x v="0"/>
    <x v="13"/>
    <s v="Car Loan EMI payment"/>
    <s v="Credit Card"/>
    <x v="656"/>
    <n v="12000"/>
    <s v="HDFC Savings"/>
    <x v="0"/>
    <n v="-2797.0300000000007"/>
    <n v="-9202.9699999999993"/>
    <s v="No"/>
  </r>
  <r>
    <s v="TXN-20272"/>
    <x v="301"/>
    <s v="Dec-2024"/>
    <x v="0"/>
    <x v="4"/>
    <x v="16"/>
    <s v="Local Market payment"/>
    <s v="Net Banking"/>
    <x v="657"/>
    <n v="6000"/>
    <s v="SBI Salary A/c"/>
    <x v="0"/>
    <n v="-2621.38"/>
    <n v="-3378.62"/>
    <s v="No"/>
  </r>
  <r>
    <s v="TXN-20007"/>
    <x v="302"/>
    <s v="Dec-2024"/>
    <x v="0"/>
    <x v="2"/>
    <x v="12"/>
    <s v="Mobile Recharge payment"/>
    <s v="Cash"/>
    <x v="658"/>
    <n v="3000"/>
    <s v="Cash Wallet"/>
    <x v="0"/>
    <n v="-821.4699999999998"/>
    <n v="-2178.5300000000002"/>
    <s v="No"/>
  </r>
  <r>
    <s v="TXN-20424"/>
    <x v="303"/>
    <s v="Dec-2024"/>
    <x v="0"/>
    <x v="2"/>
    <x v="30"/>
    <s v="Water Bill payment"/>
    <s v="UPI"/>
    <x v="659"/>
    <n v="3000"/>
    <s v="ICICI Credit Card"/>
    <x v="0"/>
    <n v="-357.51000000000022"/>
    <n v="-2642.49"/>
    <s v="No"/>
  </r>
  <r>
    <s v="TXN-20607"/>
    <x v="304"/>
    <s v="Dec-2024"/>
    <x v="0"/>
    <x v="6"/>
    <x v="6"/>
    <s v="Cab/Taxi payment"/>
    <s v="Credit Card"/>
    <x v="660"/>
    <n v="3500"/>
    <s v="HDFC Savings"/>
    <x v="1"/>
    <n v="-1573.78"/>
    <n v="-1926.22"/>
    <s v="No"/>
  </r>
  <r>
    <s v="TXN-20069"/>
    <x v="305"/>
    <s v="Dec-2024"/>
    <x v="0"/>
    <x v="6"/>
    <x v="6"/>
    <s v="Cab/Taxi payment"/>
    <s v="UPI"/>
    <x v="661"/>
    <n v="3500"/>
    <s v="Cash Wallet"/>
    <x v="1"/>
    <n v="809.57999999999993"/>
    <n v="-4309.58"/>
    <s v="Yes"/>
  </r>
  <r>
    <s v="TXN-20382"/>
    <x v="305"/>
    <s v="Dec-2024"/>
    <x v="0"/>
    <x v="0"/>
    <x v="8"/>
    <s v="Home Loan EMI payment"/>
    <s v="UPI"/>
    <x v="662"/>
    <n v="12000"/>
    <s v="SBI Salary A/c"/>
    <x v="0"/>
    <n v="-3696.1200000000008"/>
    <n v="-8303.8799999999992"/>
    <s v="No"/>
  </r>
  <r>
    <s v="TXN-20053"/>
    <x v="305"/>
    <s v="Dec-2024"/>
    <x v="1"/>
    <x v="7"/>
    <x v="7"/>
    <s v="Monthly Salary received"/>
    <s v="Net Banking"/>
    <x v="663"/>
    <n v="0"/>
    <s v="ICICI Credit Card"/>
    <x v="0"/>
    <s v="0"/>
    <n v="51892.22"/>
    <s v="Yes"/>
  </r>
  <r>
    <s v="TXN-20718"/>
    <x v="305"/>
    <s v="Dec-2024"/>
    <x v="0"/>
    <x v="0"/>
    <x v="8"/>
    <s v="Home Loan EMI payment"/>
    <s v="UPI"/>
    <x v="664"/>
    <n v="12000"/>
    <s v="SBI Salary A/c"/>
    <x v="0"/>
    <n v="-5138.6000000000004"/>
    <n v="-6861.4"/>
    <s v="No"/>
  </r>
  <r>
    <s v="TXN-20692"/>
    <x v="305"/>
    <s v="Dec-2024"/>
    <x v="0"/>
    <x v="11"/>
    <x v="21"/>
    <s v="Fixed Deposit payment"/>
    <s v="Net Banking"/>
    <x v="665"/>
    <n v="8000"/>
    <s v="ICICI Credit Card"/>
    <x v="0"/>
    <n v="-2364.16"/>
    <n v="-5635.84"/>
    <s v="No"/>
  </r>
  <r>
    <s v="TXN-20647"/>
    <x v="306"/>
    <s v="Dec-2024"/>
    <x v="0"/>
    <x v="1"/>
    <x v="1"/>
    <s v="Movies payment"/>
    <s v="Cash"/>
    <x v="666"/>
    <n v="2500"/>
    <s v="HDFC Savings"/>
    <x v="1"/>
    <n v="685.69"/>
    <n v="-3185.69"/>
    <s v="Yes"/>
  </r>
  <r>
    <s v="TXN-20508"/>
    <x v="306"/>
    <s v="Dec-2024"/>
    <x v="0"/>
    <x v="11"/>
    <x v="28"/>
    <s v="Stocks payment"/>
    <s v="UPI"/>
    <x v="667"/>
    <n v="8000"/>
    <s v="HDFC Savings"/>
    <x v="0"/>
    <n v="-869.4399999999996"/>
    <n v="-7130.56"/>
    <s v="No"/>
  </r>
  <r>
    <s v="TXN-20884"/>
    <x v="307"/>
    <s v="Dec-2024"/>
    <x v="0"/>
    <x v="6"/>
    <x v="26"/>
    <s v="Fuel payment"/>
    <s v="UPI"/>
    <x v="668"/>
    <n v="3500"/>
    <s v="HDFC Savings"/>
    <x v="1"/>
    <n v="-1031.1799999999998"/>
    <n v="-2468.8200000000002"/>
    <s v="No"/>
  </r>
  <r>
    <s v="TXN-20623"/>
    <x v="308"/>
    <s v="Dec-2024"/>
    <x v="1"/>
    <x v="7"/>
    <x v="7"/>
    <s v="Monthly Salary received"/>
    <s v="Credit Card"/>
    <x v="669"/>
    <n v="0"/>
    <s v="ICICI Credit Card"/>
    <x v="0"/>
    <s v="0"/>
    <n v="44151.65"/>
    <s v="Yes"/>
  </r>
  <r>
    <s v="TXN-20658"/>
    <x v="309"/>
    <s v="Dec-2024"/>
    <x v="0"/>
    <x v="3"/>
    <x v="3"/>
    <s v="Electronics payment"/>
    <s v="Debit Card"/>
    <x v="670"/>
    <n v="4000"/>
    <s v="HDFC Savings"/>
    <x v="1"/>
    <n v="938.79"/>
    <n v="-4938.79"/>
    <s v="Yes"/>
  </r>
  <r>
    <s v="TXN-20434"/>
    <x v="309"/>
    <s v="Dec-2024"/>
    <x v="0"/>
    <x v="2"/>
    <x v="2"/>
    <s v="Internet Bill payment"/>
    <s v="Cash"/>
    <x v="671"/>
    <n v="3000"/>
    <s v="Cash Wallet"/>
    <x v="0"/>
    <n v="-158.61000000000013"/>
    <n v="-2841.39"/>
    <s v="No"/>
  </r>
  <r>
    <s v="TXN-20650"/>
    <x v="310"/>
    <s v="Dec-2024"/>
    <x v="0"/>
    <x v="10"/>
    <x v="24"/>
    <s v="Health Insurance payment"/>
    <s v="Debit Card"/>
    <x v="672"/>
    <n v="2000"/>
    <s v="Cash Wallet"/>
    <x v="1"/>
    <n v="-972.40000000000009"/>
    <n v="-1027.5999999999999"/>
    <s v="No"/>
  </r>
  <r>
    <s v="TXN-20488"/>
    <x v="311"/>
    <s v="Dec-2024"/>
    <x v="0"/>
    <x v="4"/>
    <x v="16"/>
    <s v="Local Market payment"/>
    <s v="Net Banking"/>
    <x v="673"/>
    <n v="6000"/>
    <s v="SBI Salary A/c"/>
    <x v="1"/>
    <n v="138.72000000000025"/>
    <n v="-6138.72"/>
    <s v="Yes"/>
  </r>
  <r>
    <s v="TXN-20091"/>
    <x v="311"/>
    <s v="Dec-2024"/>
    <x v="0"/>
    <x v="3"/>
    <x v="23"/>
    <s v="Online Shopping payment"/>
    <s v="UPI"/>
    <x v="674"/>
    <n v="4000"/>
    <s v="ICICI Credit Card"/>
    <x v="1"/>
    <n v="536.55000000000018"/>
    <n v="-4536.55"/>
    <s v="Yes"/>
  </r>
  <r>
    <s v="TXN-20442"/>
    <x v="312"/>
    <s v="Jan-2025"/>
    <x v="0"/>
    <x v="6"/>
    <x v="11"/>
    <s v="Public Transport payment"/>
    <s v="Credit Card"/>
    <x v="675"/>
    <n v="3500"/>
    <s v="SBI Salary A/c"/>
    <x v="1"/>
    <n v="44.260000000000218"/>
    <n v="-3544.26"/>
    <s v="Yes"/>
  </r>
  <r>
    <s v="TXN-20972"/>
    <x v="312"/>
    <s v="Jan-2025"/>
    <x v="0"/>
    <x v="4"/>
    <x v="4"/>
    <s v="Supermarket payment"/>
    <s v="Credit Card"/>
    <x v="676"/>
    <n v="6000"/>
    <s v="SBI Salary A/c"/>
    <x v="0"/>
    <n v="797.47999999999956"/>
    <n v="-6797.48"/>
    <s v="Yes"/>
  </r>
  <r>
    <s v="TXN-20604"/>
    <x v="312"/>
    <s v="Jan-2025"/>
    <x v="0"/>
    <x v="11"/>
    <x v="21"/>
    <s v="Fixed Deposit payment"/>
    <s v="UPI"/>
    <x v="677"/>
    <n v="8000"/>
    <s v="ICICI Credit Card"/>
    <x v="0"/>
    <n v="1535.6900000000005"/>
    <n v="-9535.69"/>
    <s v="Yes"/>
  </r>
  <r>
    <s v="TXN-20981"/>
    <x v="313"/>
    <s v="Jan-2025"/>
    <x v="1"/>
    <x v="7"/>
    <x v="7"/>
    <s v="Monthly Salary received"/>
    <s v="UPI"/>
    <x v="678"/>
    <n v="0"/>
    <s v="Cash Wallet"/>
    <x v="0"/>
    <s v="0"/>
    <n v="53746.6"/>
    <s v="Yes"/>
  </r>
  <r>
    <s v="TXN-20554"/>
    <x v="313"/>
    <s v="Jan-2025"/>
    <x v="0"/>
    <x v="6"/>
    <x v="11"/>
    <s v="Public Transport payment"/>
    <s v="Credit Card"/>
    <x v="679"/>
    <n v="3500"/>
    <s v="HDFC Savings"/>
    <x v="1"/>
    <n v="-1435.71"/>
    <n v="-2064.29"/>
    <s v="No"/>
  </r>
  <r>
    <s v="TXN-20947"/>
    <x v="314"/>
    <s v="Jan-2025"/>
    <x v="0"/>
    <x v="10"/>
    <x v="17"/>
    <s v="Pharmacy payment"/>
    <s v="Credit Card"/>
    <x v="680"/>
    <n v="2000"/>
    <s v="SBI Salary A/c"/>
    <x v="1"/>
    <n v="392.63000000000011"/>
    <n v="-2392.63"/>
    <s v="Yes"/>
  </r>
  <r>
    <s v="TXN-20045"/>
    <x v="314"/>
    <s v="Jan-2025"/>
    <x v="0"/>
    <x v="0"/>
    <x v="8"/>
    <s v="Home Loan EMI payment"/>
    <s v="UPI"/>
    <x v="681"/>
    <n v="12000"/>
    <s v="SBI Salary A/c"/>
    <x v="0"/>
    <n v="705.68000000000029"/>
    <n v="-12705.68"/>
    <s v="Yes"/>
  </r>
  <r>
    <s v="TXN-20648"/>
    <x v="314"/>
    <s v="Jan-2025"/>
    <x v="0"/>
    <x v="11"/>
    <x v="19"/>
    <s v="Mutual Fund SIP payment"/>
    <s v="Credit Card"/>
    <x v="682"/>
    <n v="8000"/>
    <s v="HDFC Savings"/>
    <x v="0"/>
    <n v="461.29000000000087"/>
    <n v="-8461.2900000000009"/>
    <s v="Yes"/>
  </r>
  <r>
    <s v="TXN-20626"/>
    <x v="315"/>
    <s v="Jan-2025"/>
    <x v="1"/>
    <x v="9"/>
    <x v="14"/>
    <s v="Project Payment received"/>
    <s v="Credit Card"/>
    <x v="683"/>
    <n v="0"/>
    <s v="SBI Salary A/c"/>
    <x v="1"/>
    <s v="0"/>
    <n v="5388.21"/>
    <s v="Yes"/>
  </r>
  <r>
    <s v="TXN-20371"/>
    <x v="315"/>
    <s v="Jan-2025"/>
    <x v="0"/>
    <x v="5"/>
    <x v="5"/>
    <s v="House Rent payment"/>
    <s v="UPI"/>
    <x v="684"/>
    <n v="15000"/>
    <s v="HDFC Savings"/>
    <x v="0"/>
    <n v="-2910.3199999999997"/>
    <n v="-12089.68"/>
    <s v="No"/>
  </r>
  <r>
    <s v="TXN-20618"/>
    <x v="315"/>
    <s v="Jan-2025"/>
    <x v="0"/>
    <x v="6"/>
    <x v="11"/>
    <s v="Public Transport payment"/>
    <s v="UPI"/>
    <x v="685"/>
    <n v="3500"/>
    <s v="ICICI Credit Card"/>
    <x v="1"/>
    <n v="-1096.8899999999999"/>
    <n v="-2403.11"/>
    <s v="No"/>
  </r>
  <r>
    <s v="TXN-20889"/>
    <x v="316"/>
    <s v="Jan-2025"/>
    <x v="0"/>
    <x v="0"/>
    <x v="0"/>
    <s v="Personal Loan EMI payment"/>
    <s v="UPI"/>
    <x v="686"/>
    <n v="12000"/>
    <s v="Cash Wallet"/>
    <x v="0"/>
    <n v="448.3700000000008"/>
    <n v="-12448.37"/>
    <s v="Yes"/>
  </r>
  <r>
    <s v="TXN-20256"/>
    <x v="316"/>
    <s v="Jan-2025"/>
    <x v="0"/>
    <x v="11"/>
    <x v="28"/>
    <s v="Stocks payment"/>
    <s v="Net Banking"/>
    <x v="687"/>
    <n v="8000"/>
    <s v="Cash Wallet"/>
    <x v="0"/>
    <n v="-1909.8900000000003"/>
    <n v="-6090.11"/>
    <s v="No"/>
  </r>
  <r>
    <s v="TXN-20681"/>
    <x v="317"/>
    <s v="Jan-2025"/>
    <x v="0"/>
    <x v="11"/>
    <x v="19"/>
    <s v="Mutual Fund SIP payment"/>
    <s v="Net Banking"/>
    <x v="688"/>
    <n v="8000"/>
    <s v="HDFC Savings"/>
    <x v="0"/>
    <n v="176.8100000000004"/>
    <n v="-8176.81"/>
    <s v="Yes"/>
  </r>
  <r>
    <s v="TXN-20657"/>
    <x v="317"/>
    <s v="Jan-2025"/>
    <x v="1"/>
    <x v="7"/>
    <x v="7"/>
    <s v="Monthly Salary received"/>
    <s v="Net Banking"/>
    <x v="689"/>
    <n v="0"/>
    <s v="Cash Wallet"/>
    <x v="0"/>
    <s v="0"/>
    <n v="51512.41"/>
    <s v="Yes"/>
  </r>
  <r>
    <s v="TXN-20667"/>
    <x v="317"/>
    <s v="Jan-2025"/>
    <x v="0"/>
    <x v="10"/>
    <x v="27"/>
    <s v="Doctor Visit payment"/>
    <s v="Cash"/>
    <x v="690"/>
    <n v="2000"/>
    <s v="SBI Salary A/c"/>
    <x v="1"/>
    <n v="-840.90000000000009"/>
    <n v="-1159.0999999999999"/>
    <s v="No"/>
  </r>
  <r>
    <s v="TXN-20788"/>
    <x v="317"/>
    <s v="Jan-2025"/>
    <x v="1"/>
    <x v="7"/>
    <x v="7"/>
    <s v="Monthly Salary received"/>
    <s v="Credit Card"/>
    <x v="691"/>
    <n v="0"/>
    <s v="SBI Salary A/c"/>
    <x v="0"/>
    <s v="0"/>
    <n v="45530.18"/>
    <s v="Yes"/>
  </r>
  <r>
    <s v="TXN-20497"/>
    <x v="318"/>
    <s v="Jan-2025"/>
    <x v="0"/>
    <x v="2"/>
    <x v="30"/>
    <s v="Water Bill payment"/>
    <s v="Debit Card"/>
    <x v="692"/>
    <n v="3000"/>
    <s v="Cash Wallet"/>
    <x v="0"/>
    <n v="-1048.04"/>
    <n v="-1951.96"/>
    <s v="No"/>
  </r>
  <r>
    <s v="TXN-20295"/>
    <x v="319"/>
    <s v="Jan-2025"/>
    <x v="0"/>
    <x v="1"/>
    <x v="9"/>
    <s v="Streaming Subscription payment"/>
    <s v="Net Banking"/>
    <x v="693"/>
    <n v="2500"/>
    <s v="SBI Salary A/c"/>
    <x v="1"/>
    <n v="-685.2"/>
    <n v="-1814.8"/>
    <s v="No"/>
  </r>
  <r>
    <s v="TXN-20473"/>
    <x v="320"/>
    <s v="Jan-2025"/>
    <x v="0"/>
    <x v="4"/>
    <x v="16"/>
    <s v="Local Market payment"/>
    <s v="Net Banking"/>
    <x v="694"/>
    <n v="6000"/>
    <s v="HDFC Savings"/>
    <x v="0"/>
    <n v="-2911.71"/>
    <n v="-3088.29"/>
    <s v="No"/>
  </r>
  <r>
    <s v="TXN-20249"/>
    <x v="320"/>
    <s v="Jan-2025"/>
    <x v="0"/>
    <x v="6"/>
    <x v="26"/>
    <s v="Fuel payment"/>
    <s v="UPI"/>
    <x v="695"/>
    <n v="3500"/>
    <s v="HDFC Savings"/>
    <x v="1"/>
    <n v="-485.42999999999984"/>
    <n v="-3014.57"/>
    <s v="No"/>
  </r>
  <r>
    <s v="TXN-20155"/>
    <x v="320"/>
    <s v="Jan-2025"/>
    <x v="0"/>
    <x v="4"/>
    <x v="4"/>
    <s v="Supermarket payment"/>
    <s v="UPI"/>
    <x v="696"/>
    <n v="6000"/>
    <s v="HDFC Savings"/>
    <x v="1"/>
    <n v="-296.26000000000022"/>
    <n v="-5703.74"/>
    <s v="No"/>
  </r>
  <r>
    <s v="TXN-20546"/>
    <x v="321"/>
    <s v="Jan-2025"/>
    <x v="0"/>
    <x v="3"/>
    <x v="3"/>
    <s v="Electronics payment"/>
    <s v="Credit Card"/>
    <x v="697"/>
    <n v="4000"/>
    <s v="HDFC Savings"/>
    <x v="1"/>
    <n v="1150.9399999999996"/>
    <n v="-5150.9399999999996"/>
    <s v="Yes"/>
  </r>
  <r>
    <s v="TXN-20196"/>
    <x v="322"/>
    <s v="Jan-2025"/>
    <x v="0"/>
    <x v="2"/>
    <x v="30"/>
    <s v="Water Bill payment"/>
    <s v="Cash"/>
    <x v="698"/>
    <n v="3000"/>
    <s v="SBI Salary A/c"/>
    <x v="0"/>
    <n v="-498.23999999999978"/>
    <n v="-2501.7600000000002"/>
    <s v="No"/>
  </r>
  <r>
    <s v="TXN-20379"/>
    <x v="323"/>
    <s v="Jan-2025"/>
    <x v="0"/>
    <x v="0"/>
    <x v="13"/>
    <s v="Car Loan EMI payment"/>
    <s v="Credit Card"/>
    <x v="699"/>
    <n v="12000"/>
    <s v="SBI Salary A/c"/>
    <x v="0"/>
    <n v="389.64999999999964"/>
    <n v="-12389.65"/>
    <s v="Yes"/>
  </r>
  <r>
    <s v="TXN-20871"/>
    <x v="323"/>
    <s v="Jan-2025"/>
    <x v="0"/>
    <x v="2"/>
    <x v="18"/>
    <s v="Electricity Bill payment"/>
    <s v="UPI"/>
    <x v="700"/>
    <n v="3000"/>
    <s v="Cash Wallet"/>
    <x v="0"/>
    <n v="-1419.24"/>
    <n v="-1580.76"/>
    <s v="No"/>
  </r>
  <r>
    <s v="TXN-20489"/>
    <x v="324"/>
    <s v="Jan-2025"/>
    <x v="0"/>
    <x v="2"/>
    <x v="30"/>
    <s v="Water Bill payment"/>
    <s v="Credit Card"/>
    <x v="701"/>
    <n v="3000"/>
    <s v="SBI Salary A/c"/>
    <x v="0"/>
    <n v="-498.03999999999996"/>
    <n v="-2501.96"/>
    <s v="No"/>
  </r>
  <r>
    <s v="TXN-20357"/>
    <x v="324"/>
    <s v="Jan-2025"/>
    <x v="0"/>
    <x v="6"/>
    <x v="6"/>
    <s v="Cab/Taxi payment"/>
    <s v="Net Banking"/>
    <x v="702"/>
    <n v="3500"/>
    <s v="HDFC Savings"/>
    <x v="1"/>
    <n v="-1065.0700000000002"/>
    <n v="-2434.9299999999998"/>
    <s v="No"/>
  </r>
  <r>
    <s v="TXN-20165"/>
    <x v="325"/>
    <s v="Jan-2025"/>
    <x v="0"/>
    <x v="2"/>
    <x v="18"/>
    <s v="Electricity Bill payment"/>
    <s v="Cash"/>
    <x v="703"/>
    <n v="3000"/>
    <s v="ICICI Credit Card"/>
    <x v="0"/>
    <n v="879.56"/>
    <n v="-3879.56"/>
    <s v="Yes"/>
  </r>
  <r>
    <s v="TXN-20034"/>
    <x v="326"/>
    <s v="Jan-2025"/>
    <x v="0"/>
    <x v="2"/>
    <x v="30"/>
    <s v="Water Bill payment"/>
    <s v="UPI"/>
    <x v="704"/>
    <n v="3000"/>
    <s v="Cash Wallet"/>
    <x v="0"/>
    <n v="-1048.73"/>
    <n v="-1951.27"/>
    <s v="No"/>
  </r>
  <r>
    <s v="TXN-20402"/>
    <x v="326"/>
    <s v="Jan-2025"/>
    <x v="0"/>
    <x v="2"/>
    <x v="30"/>
    <s v="Water Bill payment"/>
    <s v="UPI"/>
    <x v="705"/>
    <n v="3000"/>
    <s v="Cash Wallet"/>
    <x v="0"/>
    <n v="-1013.1500000000001"/>
    <n v="-1986.85"/>
    <s v="No"/>
  </r>
  <r>
    <s v="TXN-20711"/>
    <x v="326"/>
    <s v="Jan-2025"/>
    <x v="1"/>
    <x v="9"/>
    <x v="14"/>
    <s v="Project Payment received"/>
    <s v="Credit Card"/>
    <x v="706"/>
    <n v="0"/>
    <s v="ICICI Credit Card"/>
    <x v="0"/>
    <s v="0"/>
    <n v="7880.15"/>
    <s v="Yes"/>
  </r>
  <r>
    <s v="TXN-20324"/>
    <x v="326"/>
    <s v="Jan-2025"/>
    <x v="0"/>
    <x v="4"/>
    <x v="16"/>
    <s v="Local Market payment"/>
    <s v="UPI"/>
    <x v="707"/>
    <n v="6000"/>
    <s v="SBI Salary A/c"/>
    <x v="1"/>
    <n v="-2756.36"/>
    <n v="-3243.64"/>
    <s v="No"/>
  </r>
  <r>
    <s v="TXN-20646"/>
    <x v="327"/>
    <s v="Jan-2025"/>
    <x v="0"/>
    <x v="11"/>
    <x v="28"/>
    <s v="Stocks payment"/>
    <s v="Net Banking"/>
    <x v="708"/>
    <n v="8000"/>
    <s v="HDFC Savings"/>
    <x v="0"/>
    <n v="-955.11999999999989"/>
    <n v="-7044.88"/>
    <s v="No"/>
  </r>
  <r>
    <s v="TXN-20933"/>
    <x v="327"/>
    <s v="Jan-2025"/>
    <x v="0"/>
    <x v="3"/>
    <x v="15"/>
    <s v="Clothing payment"/>
    <s v="UPI"/>
    <x v="709"/>
    <n v="4000"/>
    <s v="SBI Salary A/c"/>
    <x v="1"/>
    <n v="-616.63999999999987"/>
    <n v="-3383.36"/>
    <s v="No"/>
  </r>
  <r>
    <s v="TXN-20331"/>
    <x v="328"/>
    <s v="Jan-2025"/>
    <x v="0"/>
    <x v="5"/>
    <x v="5"/>
    <s v="House Rent payment"/>
    <s v="UPI"/>
    <x v="710"/>
    <n v="15000"/>
    <s v="HDFC Savings"/>
    <x v="0"/>
    <n v="1098.3500000000004"/>
    <n v="-16098.35"/>
    <s v="Yes"/>
  </r>
  <r>
    <s v="TXN-20832"/>
    <x v="328"/>
    <s v="Jan-2025"/>
    <x v="0"/>
    <x v="2"/>
    <x v="12"/>
    <s v="Mobile Recharge payment"/>
    <s v="Debit Card"/>
    <x v="711"/>
    <n v="3000"/>
    <s v="Cash Wallet"/>
    <x v="0"/>
    <n v="484.94999999999982"/>
    <n v="-3484.95"/>
    <s v="Yes"/>
  </r>
  <r>
    <s v="TXN-20334"/>
    <x v="328"/>
    <s v="Jan-2025"/>
    <x v="0"/>
    <x v="0"/>
    <x v="0"/>
    <s v="Personal Loan EMI payment"/>
    <s v="Credit Card"/>
    <x v="712"/>
    <n v="12000"/>
    <s v="HDFC Savings"/>
    <x v="0"/>
    <n v="-4916.08"/>
    <n v="-7083.92"/>
    <s v="No"/>
  </r>
  <r>
    <s v="TXN-20691"/>
    <x v="329"/>
    <s v="Jan-2025"/>
    <x v="0"/>
    <x v="2"/>
    <x v="2"/>
    <s v="Internet Bill payment"/>
    <s v="Credit Card"/>
    <x v="713"/>
    <n v="3000"/>
    <s v="Cash Wallet"/>
    <x v="0"/>
    <n v="-1104.9100000000001"/>
    <n v="-1895.09"/>
    <s v="No"/>
  </r>
  <r>
    <s v="TXN-20824"/>
    <x v="329"/>
    <s v="Jan-2025"/>
    <x v="0"/>
    <x v="11"/>
    <x v="28"/>
    <s v="Stocks payment"/>
    <s v="UPI"/>
    <x v="714"/>
    <n v="8000"/>
    <s v="Cash Wallet"/>
    <x v="0"/>
    <n v="-1307.42"/>
    <n v="-6692.58"/>
    <s v="No"/>
  </r>
  <r>
    <s v="TXN-20062"/>
    <x v="329"/>
    <s v="Jan-2025"/>
    <x v="0"/>
    <x v="11"/>
    <x v="28"/>
    <s v="Stocks payment"/>
    <s v="Net Banking"/>
    <x v="715"/>
    <n v="8000"/>
    <s v="ICICI Credit Card"/>
    <x v="0"/>
    <n v="1712.1499999999996"/>
    <n v="-9712.15"/>
    <s v="Yes"/>
  </r>
  <r>
    <s v="TXN-20812"/>
    <x v="330"/>
    <s v="Jan-2025"/>
    <x v="0"/>
    <x v="3"/>
    <x v="3"/>
    <s v="Electronics payment"/>
    <s v="UPI"/>
    <x v="716"/>
    <n v="4000"/>
    <s v="HDFC Savings"/>
    <x v="1"/>
    <n v="-709.63999999999987"/>
    <n v="-3290.36"/>
    <s v="No"/>
  </r>
  <r>
    <s v="TXN-20603"/>
    <x v="330"/>
    <s v="Jan-2025"/>
    <x v="0"/>
    <x v="5"/>
    <x v="5"/>
    <s v="House Rent payment"/>
    <s v="Credit Card"/>
    <x v="717"/>
    <n v="15000"/>
    <s v="ICICI Credit Card"/>
    <x v="0"/>
    <n v="646.93000000000029"/>
    <n v="-15646.93"/>
    <s v="Yes"/>
  </r>
  <r>
    <s v="TXN-20601"/>
    <x v="331"/>
    <s v="Jan-2025"/>
    <x v="0"/>
    <x v="5"/>
    <x v="5"/>
    <s v="House Rent payment"/>
    <s v="Credit Card"/>
    <x v="718"/>
    <n v="15000"/>
    <s v="SBI Salary A/c"/>
    <x v="0"/>
    <n v="-6373.1299999999992"/>
    <n v="-8626.8700000000008"/>
    <s v="No"/>
  </r>
  <r>
    <s v="TXN-20595"/>
    <x v="331"/>
    <s v="Jan-2025"/>
    <x v="1"/>
    <x v="12"/>
    <x v="29"/>
    <s v="Interest Income received"/>
    <s v="Debit Card"/>
    <x v="719"/>
    <n v="0"/>
    <s v="SBI Salary A/c"/>
    <x v="1"/>
    <s v="0"/>
    <n v="4087.12"/>
    <s v="Yes"/>
  </r>
  <r>
    <s v="TXN-20219"/>
    <x v="331"/>
    <s v="Jan-2025"/>
    <x v="0"/>
    <x v="2"/>
    <x v="2"/>
    <s v="Internet Bill payment"/>
    <s v="Cash"/>
    <x v="720"/>
    <n v="3000"/>
    <s v="HDFC Savings"/>
    <x v="0"/>
    <n v="-829.56"/>
    <n v="-2170.44"/>
    <s v="No"/>
  </r>
  <r>
    <s v="TXN-20590"/>
    <x v="332"/>
    <s v="Jan-2025"/>
    <x v="0"/>
    <x v="2"/>
    <x v="30"/>
    <s v="Water Bill payment"/>
    <s v="Cash"/>
    <x v="721"/>
    <n v="3000"/>
    <s v="Cash Wallet"/>
    <x v="0"/>
    <n v="191.38999999999987"/>
    <n v="-3191.39"/>
    <s v="Yes"/>
  </r>
  <r>
    <s v="TXN-20046"/>
    <x v="332"/>
    <s v="Jan-2025"/>
    <x v="1"/>
    <x v="9"/>
    <x v="25"/>
    <s v="Consulting Fee received"/>
    <s v="Credit Card"/>
    <x v="722"/>
    <n v="0"/>
    <s v="HDFC Savings"/>
    <x v="1"/>
    <s v="0"/>
    <n v="12877.35"/>
    <s v="Yes"/>
  </r>
  <r>
    <s v="TXN-20298"/>
    <x v="332"/>
    <s v="Jan-2025"/>
    <x v="0"/>
    <x v="2"/>
    <x v="30"/>
    <s v="Water Bill payment"/>
    <s v="Credit Card"/>
    <x v="723"/>
    <n v="3000"/>
    <s v="ICICI Credit Card"/>
    <x v="0"/>
    <n v="877.32000000000016"/>
    <n v="-3877.32"/>
    <s v="Yes"/>
  </r>
  <r>
    <s v="TXN-20690"/>
    <x v="333"/>
    <s v="Feb-2025"/>
    <x v="0"/>
    <x v="5"/>
    <x v="5"/>
    <s v="House Rent payment"/>
    <s v="Debit Card"/>
    <x v="724"/>
    <n v="15000"/>
    <s v="HDFC Savings"/>
    <x v="0"/>
    <n v="-2255.8999999999996"/>
    <n v="-12744.1"/>
    <s v="No"/>
  </r>
  <r>
    <s v="TXN-20260"/>
    <x v="334"/>
    <s v="Feb-2025"/>
    <x v="0"/>
    <x v="5"/>
    <x v="5"/>
    <s v="House Rent payment"/>
    <s v="Credit Card"/>
    <x v="725"/>
    <n v="15000"/>
    <s v="ICICI Credit Card"/>
    <x v="0"/>
    <n v="3762.9900000000016"/>
    <n v="-18762.990000000002"/>
    <s v="Yes"/>
  </r>
  <r>
    <s v="TXN-20708"/>
    <x v="334"/>
    <s v="Feb-2025"/>
    <x v="0"/>
    <x v="5"/>
    <x v="5"/>
    <s v="House Rent payment"/>
    <s v="Credit Card"/>
    <x v="726"/>
    <n v="15000"/>
    <s v="Cash Wallet"/>
    <x v="0"/>
    <n v="2106.619999999999"/>
    <n v="-17106.62"/>
    <s v="Yes"/>
  </r>
  <r>
    <s v="TXN-20700"/>
    <x v="335"/>
    <s v="Feb-2025"/>
    <x v="0"/>
    <x v="2"/>
    <x v="12"/>
    <s v="Mobile Recharge payment"/>
    <s v="Credit Card"/>
    <x v="727"/>
    <n v="3000"/>
    <s v="HDFC Savings"/>
    <x v="0"/>
    <n v="124.84999999999991"/>
    <n v="-3124.85"/>
    <s v="Yes"/>
  </r>
  <r>
    <s v="TXN-20766"/>
    <x v="335"/>
    <s v="Feb-2025"/>
    <x v="1"/>
    <x v="7"/>
    <x v="7"/>
    <s v="Monthly Salary received"/>
    <s v="UPI"/>
    <x v="728"/>
    <n v="0"/>
    <s v="SBI Salary A/c"/>
    <x v="0"/>
    <s v="0"/>
    <n v="47775.66"/>
    <s v="Yes"/>
  </r>
  <r>
    <s v="TXN-20078"/>
    <x v="336"/>
    <s v="Feb-2025"/>
    <x v="0"/>
    <x v="11"/>
    <x v="19"/>
    <s v="Mutual Fund SIP payment"/>
    <s v="Cash"/>
    <x v="729"/>
    <n v="8000"/>
    <s v="HDFC Savings"/>
    <x v="0"/>
    <n v="-260.17000000000007"/>
    <n v="-7739.83"/>
    <s v="No"/>
  </r>
  <r>
    <s v="TXN-20931"/>
    <x v="336"/>
    <s v="Feb-2025"/>
    <x v="0"/>
    <x v="6"/>
    <x v="6"/>
    <s v="Cab/Taxi payment"/>
    <s v="Credit Card"/>
    <x v="730"/>
    <n v="3500"/>
    <s v="SBI Salary A/c"/>
    <x v="1"/>
    <n v="-1119.8600000000001"/>
    <n v="-2380.14"/>
    <s v="No"/>
  </r>
  <r>
    <s v="TXN-20857"/>
    <x v="336"/>
    <s v="Feb-2025"/>
    <x v="0"/>
    <x v="2"/>
    <x v="30"/>
    <s v="Water Bill payment"/>
    <s v="Debit Card"/>
    <x v="731"/>
    <n v="3000"/>
    <s v="HDFC Savings"/>
    <x v="0"/>
    <n v="-686.36999999999989"/>
    <n v="-2313.63"/>
    <s v="No"/>
  </r>
  <r>
    <s v="TXN-20009"/>
    <x v="337"/>
    <s v="Feb-2025"/>
    <x v="0"/>
    <x v="1"/>
    <x v="22"/>
    <s v="Outing payment"/>
    <s v="Debit Card"/>
    <x v="732"/>
    <n v="2500"/>
    <s v="Cash Wallet"/>
    <x v="1"/>
    <n v="-439.59999999999991"/>
    <n v="-2060.4"/>
    <s v="No"/>
  </r>
  <r>
    <s v="TXN-20386"/>
    <x v="338"/>
    <s v="Feb-2025"/>
    <x v="0"/>
    <x v="8"/>
    <x v="20"/>
    <s v="Course Fee payment"/>
    <s v="Credit Card"/>
    <x v="733"/>
    <n v="2000"/>
    <s v="ICICI Credit Card"/>
    <x v="1"/>
    <n v="253.28999999999996"/>
    <n v="-2253.29"/>
    <s v="Yes"/>
  </r>
  <r>
    <s v="TXN-20090"/>
    <x v="338"/>
    <s v="Feb-2025"/>
    <x v="0"/>
    <x v="2"/>
    <x v="2"/>
    <s v="Internet Bill payment"/>
    <s v="UPI"/>
    <x v="734"/>
    <n v="3000"/>
    <s v="SBI Salary A/c"/>
    <x v="0"/>
    <n v="-62.070000000000164"/>
    <n v="-2937.93"/>
    <s v="No"/>
  </r>
  <r>
    <s v="TXN-20653"/>
    <x v="338"/>
    <s v="Feb-2025"/>
    <x v="0"/>
    <x v="3"/>
    <x v="15"/>
    <s v="Clothing payment"/>
    <s v="UPI"/>
    <x v="735"/>
    <n v="4000"/>
    <s v="ICICI Credit Card"/>
    <x v="1"/>
    <n v="42.670000000000073"/>
    <n v="-4042.67"/>
    <s v="Yes"/>
  </r>
  <r>
    <s v="TXN-20728"/>
    <x v="338"/>
    <s v="Feb-2025"/>
    <x v="0"/>
    <x v="6"/>
    <x v="26"/>
    <s v="Fuel payment"/>
    <s v="UPI"/>
    <x v="736"/>
    <n v="3500"/>
    <s v="HDFC Savings"/>
    <x v="1"/>
    <n v="443.5300000000002"/>
    <n v="-3943.53"/>
    <s v="Yes"/>
  </r>
  <r>
    <s v="TXN-20635"/>
    <x v="338"/>
    <s v="Feb-2025"/>
    <x v="0"/>
    <x v="4"/>
    <x v="4"/>
    <s v="Supermarket payment"/>
    <s v="UPI"/>
    <x v="737"/>
    <n v="6000"/>
    <s v="ICICI Credit Card"/>
    <x v="1"/>
    <n v="362.17000000000007"/>
    <n v="-6362.17"/>
    <s v="Yes"/>
  </r>
  <r>
    <s v="TXN-20617"/>
    <x v="338"/>
    <s v="Feb-2025"/>
    <x v="0"/>
    <x v="6"/>
    <x v="26"/>
    <s v="Fuel payment"/>
    <s v="Net Banking"/>
    <x v="738"/>
    <n v="3500"/>
    <s v="Cash Wallet"/>
    <x v="0"/>
    <n v="-503.67000000000007"/>
    <n v="-2996.33"/>
    <s v="No"/>
  </r>
  <r>
    <s v="TXN-20987"/>
    <x v="339"/>
    <s v="Feb-2025"/>
    <x v="0"/>
    <x v="4"/>
    <x v="4"/>
    <s v="Supermarket payment"/>
    <s v="Credit Card"/>
    <x v="739"/>
    <n v="6000"/>
    <s v="Cash Wallet"/>
    <x v="1"/>
    <n v="-1041.4099999999999"/>
    <n v="-4958.59"/>
    <s v="No"/>
  </r>
  <r>
    <s v="TXN-20036"/>
    <x v="339"/>
    <s v="Feb-2025"/>
    <x v="0"/>
    <x v="11"/>
    <x v="21"/>
    <s v="Fixed Deposit payment"/>
    <s v="Credit Card"/>
    <x v="740"/>
    <n v="8000"/>
    <s v="SBI Salary A/c"/>
    <x v="0"/>
    <n v="1294.5699999999997"/>
    <n v="-9294.57"/>
    <s v="Yes"/>
  </r>
  <r>
    <s v="TXN-20268"/>
    <x v="340"/>
    <s v="Feb-2025"/>
    <x v="0"/>
    <x v="2"/>
    <x v="2"/>
    <s v="Internet Bill payment"/>
    <s v="Cash"/>
    <x v="741"/>
    <n v="3000"/>
    <s v="SBI Salary A/c"/>
    <x v="0"/>
    <n v="-355.13999999999987"/>
    <n v="-2644.86"/>
    <s v="No"/>
  </r>
  <r>
    <s v="TXN-20387"/>
    <x v="341"/>
    <s v="Feb-2025"/>
    <x v="1"/>
    <x v="7"/>
    <x v="7"/>
    <s v="Monthly Salary received"/>
    <s v="Credit Card"/>
    <x v="742"/>
    <n v="0"/>
    <s v="Cash Wallet"/>
    <x v="0"/>
    <s v="0"/>
    <n v="48659.32"/>
    <s v="Yes"/>
  </r>
  <r>
    <s v="TXN-20162"/>
    <x v="341"/>
    <s v="Feb-2025"/>
    <x v="0"/>
    <x v="10"/>
    <x v="17"/>
    <s v="Pharmacy payment"/>
    <s v="Credit Card"/>
    <x v="743"/>
    <n v="2000"/>
    <s v="ICICI Credit Card"/>
    <x v="0"/>
    <n v="459.59999999999991"/>
    <n v="-2459.6"/>
    <s v="Yes"/>
  </r>
  <r>
    <s v="TXN-20977"/>
    <x v="342"/>
    <s v="Feb-2025"/>
    <x v="0"/>
    <x v="5"/>
    <x v="5"/>
    <s v="House Rent payment"/>
    <s v="Credit Card"/>
    <x v="744"/>
    <n v="15000"/>
    <s v="ICICI Credit Card"/>
    <x v="0"/>
    <n v="-7124.26"/>
    <n v="-7875.74"/>
    <s v="No"/>
  </r>
  <r>
    <s v="TXN-20979"/>
    <x v="343"/>
    <s v="Feb-2025"/>
    <x v="0"/>
    <x v="1"/>
    <x v="22"/>
    <s v="Outing payment"/>
    <s v="UPI"/>
    <x v="745"/>
    <n v="2500"/>
    <s v="ICICI Credit Card"/>
    <x v="0"/>
    <n v="138.69999999999982"/>
    <n v="-2638.7"/>
    <s v="Yes"/>
  </r>
  <r>
    <s v="TXN-20725"/>
    <x v="343"/>
    <s v="Feb-2025"/>
    <x v="0"/>
    <x v="6"/>
    <x v="6"/>
    <s v="Cab/Taxi payment"/>
    <s v="UPI"/>
    <x v="746"/>
    <n v="3500"/>
    <s v="HDFC Savings"/>
    <x v="1"/>
    <n v="-1432.48"/>
    <n v="-2067.52"/>
    <s v="No"/>
  </r>
  <r>
    <s v="TXN-20321"/>
    <x v="343"/>
    <s v="Feb-2025"/>
    <x v="0"/>
    <x v="5"/>
    <x v="5"/>
    <s v="House Rent payment"/>
    <s v="Credit Card"/>
    <x v="747"/>
    <n v="15000"/>
    <s v="Cash Wallet"/>
    <x v="0"/>
    <n v="1214.2700000000004"/>
    <n v="-16214.27"/>
    <s v="Yes"/>
  </r>
  <r>
    <s v="TXN-20816"/>
    <x v="343"/>
    <s v="Feb-2025"/>
    <x v="1"/>
    <x v="9"/>
    <x v="25"/>
    <s v="Consulting Fee received"/>
    <s v="UPI"/>
    <x v="748"/>
    <n v="0"/>
    <s v="SBI Salary A/c"/>
    <x v="1"/>
    <s v="0"/>
    <n v="12846.76"/>
    <s v="Yes"/>
  </r>
  <r>
    <s v="TXN-20029"/>
    <x v="343"/>
    <s v="Feb-2025"/>
    <x v="0"/>
    <x v="2"/>
    <x v="18"/>
    <s v="Electricity Bill payment"/>
    <s v="Cash"/>
    <x v="749"/>
    <n v="3000"/>
    <s v="ICICI Credit Card"/>
    <x v="0"/>
    <n v="800.61999999999989"/>
    <n v="-3800.62"/>
    <s v="Yes"/>
  </r>
  <r>
    <s v="TXN-20679"/>
    <x v="344"/>
    <s v="Feb-2025"/>
    <x v="0"/>
    <x v="1"/>
    <x v="22"/>
    <s v="Outing payment"/>
    <s v="Net Banking"/>
    <x v="750"/>
    <n v="2500"/>
    <s v="Cash Wallet"/>
    <x v="0"/>
    <n v="-106.21000000000004"/>
    <n v="-2393.79"/>
    <s v="No"/>
  </r>
  <r>
    <s v="TXN-20167"/>
    <x v="344"/>
    <s v="Feb-2025"/>
    <x v="0"/>
    <x v="6"/>
    <x v="26"/>
    <s v="Fuel payment"/>
    <s v="Credit Card"/>
    <x v="751"/>
    <n v="3500"/>
    <s v="SBI Salary A/c"/>
    <x v="1"/>
    <n v="-1387.5100000000002"/>
    <n v="-2112.4899999999998"/>
    <s v="No"/>
  </r>
  <r>
    <s v="TXN-20491"/>
    <x v="345"/>
    <s v="Feb-2025"/>
    <x v="0"/>
    <x v="1"/>
    <x v="9"/>
    <s v="Streaming Subscription payment"/>
    <s v="Net Banking"/>
    <x v="752"/>
    <n v="2500"/>
    <s v="ICICI Credit Card"/>
    <x v="1"/>
    <n v="126.57999999999993"/>
    <n v="-2626.58"/>
    <s v="Yes"/>
  </r>
  <r>
    <s v="TXN-20052"/>
    <x v="346"/>
    <s v="Feb-2025"/>
    <x v="0"/>
    <x v="11"/>
    <x v="28"/>
    <s v="Stocks payment"/>
    <s v="UPI"/>
    <x v="753"/>
    <n v="8000"/>
    <s v="ICICI Credit Card"/>
    <x v="0"/>
    <n v="-504.06999999999971"/>
    <n v="-7495.93"/>
    <s v="No"/>
  </r>
  <r>
    <s v="TXN-20148"/>
    <x v="347"/>
    <s v="Feb-2025"/>
    <x v="0"/>
    <x v="4"/>
    <x v="4"/>
    <s v="Supermarket payment"/>
    <s v="UPI"/>
    <x v="754"/>
    <n v="6000"/>
    <s v="SBI Salary A/c"/>
    <x v="1"/>
    <n v="1787.4399999999996"/>
    <n v="-7787.44"/>
    <s v="Yes"/>
  </r>
  <r>
    <s v="TXN-20610"/>
    <x v="348"/>
    <s v="Feb-2025"/>
    <x v="0"/>
    <x v="1"/>
    <x v="9"/>
    <s v="Streaming Subscription payment"/>
    <s v="Debit Card"/>
    <x v="755"/>
    <n v="2500"/>
    <s v="SBI Salary A/c"/>
    <x v="1"/>
    <n v="-919.06999999999994"/>
    <n v="-1580.93"/>
    <s v="No"/>
  </r>
  <r>
    <s v="TXN-20619"/>
    <x v="348"/>
    <s v="Feb-2025"/>
    <x v="0"/>
    <x v="4"/>
    <x v="16"/>
    <s v="Local Market payment"/>
    <s v="Credit Card"/>
    <x v="756"/>
    <n v="6000"/>
    <s v="Cash Wallet"/>
    <x v="0"/>
    <n v="-1688.7200000000003"/>
    <n v="-4311.28"/>
    <s v="No"/>
  </r>
  <r>
    <s v="TXN-20153"/>
    <x v="349"/>
    <s v="Feb-2025"/>
    <x v="0"/>
    <x v="5"/>
    <x v="5"/>
    <s v="House Rent payment"/>
    <s v="Net Banking"/>
    <x v="757"/>
    <n v="15000"/>
    <s v="HDFC Savings"/>
    <x v="0"/>
    <n v="-4943.7199999999993"/>
    <n v="-10056.280000000001"/>
    <s v="No"/>
  </r>
  <r>
    <s v="TXN-20942"/>
    <x v="349"/>
    <s v="Feb-2025"/>
    <x v="0"/>
    <x v="2"/>
    <x v="12"/>
    <s v="Mobile Recharge payment"/>
    <s v="UPI"/>
    <x v="758"/>
    <n v="3000"/>
    <s v="Cash Wallet"/>
    <x v="0"/>
    <n v="775.57999999999993"/>
    <n v="-3775.58"/>
    <s v="Yes"/>
  </r>
  <r>
    <s v="TXN-20633"/>
    <x v="349"/>
    <s v="Feb-2025"/>
    <x v="0"/>
    <x v="11"/>
    <x v="28"/>
    <s v="Stocks payment"/>
    <s v="UPI"/>
    <x v="759"/>
    <n v="8000"/>
    <s v="HDFC Savings"/>
    <x v="0"/>
    <n v="2065.1900000000005"/>
    <n v="-10065.19"/>
    <s v="Yes"/>
  </r>
  <r>
    <s v="TXN-20897"/>
    <x v="349"/>
    <s v="Feb-2025"/>
    <x v="0"/>
    <x v="1"/>
    <x v="22"/>
    <s v="Outing payment"/>
    <s v="Credit Card"/>
    <x v="760"/>
    <n v="2500"/>
    <s v="SBI Salary A/c"/>
    <x v="1"/>
    <n v="708.73"/>
    <n v="-3208.73"/>
    <s v="Yes"/>
  </r>
  <r>
    <s v="TXN-20076"/>
    <x v="350"/>
    <s v="Feb-2025"/>
    <x v="0"/>
    <x v="3"/>
    <x v="15"/>
    <s v="Clothing payment"/>
    <s v="Cash"/>
    <x v="761"/>
    <n v="4000"/>
    <s v="ICICI Credit Card"/>
    <x v="1"/>
    <n v="924.75"/>
    <n v="-4924.75"/>
    <s v="Yes"/>
  </r>
  <r>
    <s v="TXN-20440"/>
    <x v="350"/>
    <s v="Feb-2025"/>
    <x v="0"/>
    <x v="1"/>
    <x v="1"/>
    <s v="Movies payment"/>
    <s v="Cash"/>
    <x v="762"/>
    <n v="2500"/>
    <s v="HDFC Savings"/>
    <x v="1"/>
    <n v="-839.77"/>
    <n v="-1660.23"/>
    <s v="No"/>
  </r>
  <r>
    <s v="TXN-20544"/>
    <x v="351"/>
    <s v="Feb-2025"/>
    <x v="0"/>
    <x v="1"/>
    <x v="1"/>
    <s v="Movies payment"/>
    <s v="UPI"/>
    <x v="763"/>
    <n v="2500"/>
    <s v="HDFC Savings"/>
    <x v="1"/>
    <n v="-935.92000000000007"/>
    <n v="-1564.08"/>
    <s v="No"/>
  </r>
  <r>
    <s v="TXN-20640"/>
    <x v="352"/>
    <s v="Feb-2025"/>
    <x v="0"/>
    <x v="1"/>
    <x v="9"/>
    <s v="Streaming Subscription payment"/>
    <s v="UPI"/>
    <x v="764"/>
    <n v="2500"/>
    <s v="HDFC Savings"/>
    <x v="1"/>
    <n v="-134.38999999999987"/>
    <n v="-2365.61"/>
    <s v="No"/>
  </r>
  <r>
    <s v="TXN-20642"/>
    <x v="353"/>
    <s v="Feb-2025"/>
    <x v="0"/>
    <x v="1"/>
    <x v="22"/>
    <s v="Outing payment"/>
    <s v="Credit Card"/>
    <x v="765"/>
    <n v="2500"/>
    <s v="Cash Wallet"/>
    <x v="1"/>
    <n v="-285.48999999999978"/>
    <n v="-2214.5100000000002"/>
    <s v="No"/>
  </r>
  <r>
    <s v="TXN-20946"/>
    <x v="354"/>
    <s v="Feb-2025"/>
    <x v="0"/>
    <x v="8"/>
    <x v="20"/>
    <s v="Course Fee payment"/>
    <s v="Cash"/>
    <x v="766"/>
    <n v="2000"/>
    <s v="Cash Wallet"/>
    <x v="1"/>
    <n v="349.0300000000002"/>
    <n v="-2349.0300000000002"/>
    <s v="Yes"/>
  </r>
  <r>
    <s v="TXN-20742"/>
    <x v="355"/>
    <s v="Feb-2025"/>
    <x v="1"/>
    <x v="7"/>
    <x v="7"/>
    <s v="Monthly Salary received"/>
    <s v="UPI"/>
    <x v="767"/>
    <n v="0"/>
    <s v="SBI Salary A/c"/>
    <x v="0"/>
    <s v="0"/>
    <n v="51277.19"/>
    <s v="Yes"/>
  </r>
  <r>
    <s v="TXN-20823"/>
    <x v="356"/>
    <s v="Feb-2025"/>
    <x v="0"/>
    <x v="11"/>
    <x v="19"/>
    <s v="Mutual Fund SIP payment"/>
    <s v="UPI"/>
    <x v="768"/>
    <n v="8000"/>
    <s v="Cash Wallet"/>
    <x v="0"/>
    <n v="-3099.8"/>
    <n v="-4900.2"/>
    <s v="No"/>
  </r>
  <r>
    <s v="TXN-20963"/>
    <x v="357"/>
    <s v="Mar-2025"/>
    <x v="0"/>
    <x v="4"/>
    <x v="16"/>
    <s v="Local Market payment"/>
    <s v="UPI"/>
    <x v="769"/>
    <n v="6000"/>
    <s v="HDFC Savings"/>
    <x v="1"/>
    <n v="-961.68000000000029"/>
    <n v="-5038.32"/>
    <s v="No"/>
  </r>
  <r>
    <s v="TXN-20887"/>
    <x v="357"/>
    <s v="Mar-2025"/>
    <x v="0"/>
    <x v="0"/>
    <x v="0"/>
    <s v="Personal Loan EMI payment"/>
    <s v="UPI"/>
    <x v="770"/>
    <n v="12000"/>
    <s v="Cash Wallet"/>
    <x v="0"/>
    <n v="2355.1200000000008"/>
    <n v="-14355.12"/>
    <s v="Yes"/>
  </r>
  <r>
    <s v="TXN-20368"/>
    <x v="357"/>
    <s v="Mar-2025"/>
    <x v="0"/>
    <x v="0"/>
    <x v="13"/>
    <s v="Car Loan EMI payment"/>
    <s v="Net Banking"/>
    <x v="771"/>
    <n v="12000"/>
    <s v="ICICI Credit Card"/>
    <x v="0"/>
    <n v="-3493.9599999999991"/>
    <n v="-8506.0400000000009"/>
    <s v="No"/>
  </r>
  <r>
    <s v="TXN-20825"/>
    <x v="358"/>
    <s v="Mar-2025"/>
    <x v="0"/>
    <x v="5"/>
    <x v="5"/>
    <s v="House Rent payment"/>
    <s v="Credit Card"/>
    <x v="772"/>
    <n v="15000"/>
    <s v="ICICI Credit Card"/>
    <x v="0"/>
    <n v="-1324.2999999999993"/>
    <n v="-13675.7"/>
    <s v="No"/>
  </r>
  <r>
    <s v="TXN-20056"/>
    <x v="358"/>
    <s v="Mar-2025"/>
    <x v="0"/>
    <x v="5"/>
    <x v="5"/>
    <s v="House Rent payment"/>
    <s v="Debit Card"/>
    <x v="773"/>
    <n v="15000"/>
    <s v="Cash Wallet"/>
    <x v="0"/>
    <n v="-4972.4799999999996"/>
    <n v="-10027.52"/>
    <s v="No"/>
  </r>
  <r>
    <s v="TXN-20542"/>
    <x v="358"/>
    <s v="Mar-2025"/>
    <x v="0"/>
    <x v="4"/>
    <x v="16"/>
    <s v="Local Market payment"/>
    <s v="Cash"/>
    <x v="774"/>
    <n v="6000"/>
    <s v="Cash Wallet"/>
    <x v="1"/>
    <n v="-1689.0600000000004"/>
    <n v="-4310.9399999999996"/>
    <s v="No"/>
  </r>
  <r>
    <s v="TXN-20807"/>
    <x v="359"/>
    <s v="Mar-2025"/>
    <x v="0"/>
    <x v="0"/>
    <x v="0"/>
    <s v="Personal Loan EMI payment"/>
    <s v="UPI"/>
    <x v="775"/>
    <n v="12000"/>
    <s v="SBI Salary A/c"/>
    <x v="0"/>
    <n v="2563.25"/>
    <n v="-14563.25"/>
    <s v="Yes"/>
  </r>
  <r>
    <s v="TXN-20960"/>
    <x v="359"/>
    <s v="Mar-2025"/>
    <x v="0"/>
    <x v="8"/>
    <x v="20"/>
    <s v="Course Fee payment"/>
    <s v="UPI"/>
    <x v="776"/>
    <n v="2000"/>
    <s v="ICICI Credit Card"/>
    <x v="1"/>
    <n v="-51.569999999999936"/>
    <n v="-1948.43"/>
    <s v="No"/>
  </r>
  <r>
    <s v="TXN-20202"/>
    <x v="360"/>
    <s v="Mar-2025"/>
    <x v="0"/>
    <x v="8"/>
    <x v="10"/>
    <s v="Books payment"/>
    <s v="Credit Card"/>
    <x v="777"/>
    <n v="2000"/>
    <s v="SBI Salary A/c"/>
    <x v="0"/>
    <n v="-555.11999999999989"/>
    <n v="-1444.88"/>
    <s v="No"/>
  </r>
  <r>
    <s v="TXN-20502"/>
    <x v="361"/>
    <s v="Mar-2025"/>
    <x v="0"/>
    <x v="2"/>
    <x v="18"/>
    <s v="Electricity Bill payment"/>
    <s v="Credit Card"/>
    <x v="778"/>
    <n v="3000"/>
    <s v="Cash Wallet"/>
    <x v="0"/>
    <n v="58.119999999999891"/>
    <n v="-3058.12"/>
    <s v="Yes"/>
  </r>
  <r>
    <s v="TXN-20209"/>
    <x v="361"/>
    <s v="Mar-2025"/>
    <x v="0"/>
    <x v="0"/>
    <x v="13"/>
    <s v="Car Loan EMI payment"/>
    <s v="UPI"/>
    <x v="779"/>
    <n v="12000"/>
    <s v="ICICI Credit Card"/>
    <x v="0"/>
    <n v="3208.2800000000007"/>
    <n v="-15208.28"/>
    <s v="Yes"/>
  </r>
  <r>
    <s v="TXN-20869"/>
    <x v="362"/>
    <s v="Mar-2025"/>
    <x v="0"/>
    <x v="3"/>
    <x v="15"/>
    <s v="Clothing payment"/>
    <s v="Debit Card"/>
    <x v="780"/>
    <n v="4000"/>
    <s v="SBI Salary A/c"/>
    <x v="0"/>
    <n v="931.22999999999956"/>
    <n v="-4931.2299999999996"/>
    <s v="Yes"/>
  </r>
  <r>
    <s v="TXN-20500"/>
    <x v="362"/>
    <s v="Mar-2025"/>
    <x v="0"/>
    <x v="3"/>
    <x v="3"/>
    <s v="Electronics payment"/>
    <s v="UPI"/>
    <x v="781"/>
    <n v="4000"/>
    <s v="SBI Salary A/c"/>
    <x v="1"/>
    <n v="-497.11000000000013"/>
    <n v="-3502.89"/>
    <s v="No"/>
  </r>
  <r>
    <s v="TXN-20003"/>
    <x v="362"/>
    <s v="Mar-2025"/>
    <x v="0"/>
    <x v="6"/>
    <x v="11"/>
    <s v="Public Transport payment"/>
    <s v="Debit Card"/>
    <x v="782"/>
    <n v="3500"/>
    <s v="Cash Wallet"/>
    <x v="1"/>
    <n v="132.48999999999978"/>
    <n v="-3632.49"/>
    <s v="Yes"/>
  </r>
  <r>
    <s v="TXN-20600"/>
    <x v="362"/>
    <s v="Mar-2025"/>
    <x v="0"/>
    <x v="4"/>
    <x v="4"/>
    <s v="Supermarket payment"/>
    <s v="Credit Card"/>
    <x v="783"/>
    <n v="6000"/>
    <s v="ICICI Credit Card"/>
    <x v="1"/>
    <n v="1786.9899999999998"/>
    <n v="-7786.99"/>
    <s v="Yes"/>
  </r>
  <r>
    <s v="TXN-20478"/>
    <x v="363"/>
    <s v="Mar-2025"/>
    <x v="1"/>
    <x v="7"/>
    <x v="7"/>
    <s v="Monthly Salary received"/>
    <s v="Debit Card"/>
    <x v="784"/>
    <n v="0"/>
    <s v="ICICI Credit Card"/>
    <x v="0"/>
    <s v="0"/>
    <n v="51664.26"/>
    <s v="Yes"/>
  </r>
  <r>
    <s v="TXN-20362"/>
    <x v="363"/>
    <s v="Mar-2025"/>
    <x v="0"/>
    <x v="11"/>
    <x v="19"/>
    <s v="Mutual Fund SIP payment"/>
    <s v="Net Banking"/>
    <x v="785"/>
    <n v="8000"/>
    <s v="Cash Wallet"/>
    <x v="0"/>
    <n v="-1209.33"/>
    <n v="-6790.67"/>
    <s v="No"/>
  </r>
  <r>
    <s v="TXN-20073"/>
    <x v="363"/>
    <s v="Mar-2025"/>
    <x v="0"/>
    <x v="5"/>
    <x v="5"/>
    <s v="House Rent payment"/>
    <s v="Cash"/>
    <x v="786"/>
    <n v="15000"/>
    <s v="ICICI Credit Card"/>
    <x v="0"/>
    <n v="-1189.7800000000007"/>
    <n v="-13810.22"/>
    <s v="No"/>
  </r>
  <r>
    <s v="TXN-20423"/>
    <x v="364"/>
    <s v="Mar-2025"/>
    <x v="1"/>
    <x v="7"/>
    <x v="7"/>
    <s v="Monthly Salary received"/>
    <s v="Credit Card"/>
    <x v="787"/>
    <n v="0"/>
    <s v="HDFC Savings"/>
    <x v="0"/>
    <s v="0"/>
    <n v="49076.32"/>
    <s v="Yes"/>
  </r>
  <r>
    <s v="TXN-21000"/>
    <x v="365"/>
    <s v="Mar-2025"/>
    <x v="0"/>
    <x v="11"/>
    <x v="21"/>
    <s v="Fixed Deposit payment"/>
    <s v="Debit Card"/>
    <x v="788"/>
    <n v="8000"/>
    <s v="SBI Salary A/c"/>
    <x v="0"/>
    <n v="-757.71"/>
    <n v="-7242.29"/>
    <s v="No"/>
  </r>
  <r>
    <s v="TXN-20308"/>
    <x v="365"/>
    <s v="Mar-2025"/>
    <x v="0"/>
    <x v="0"/>
    <x v="13"/>
    <s v="Car Loan EMI payment"/>
    <s v="UPI"/>
    <x v="789"/>
    <n v="12000"/>
    <s v="Cash Wallet"/>
    <x v="0"/>
    <n v="-279.44000000000051"/>
    <n v="-11720.56"/>
    <s v="No"/>
  </r>
  <r>
    <s v="TXN-20845"/>
    <x v="365"/>
    <s v="Mar-2025"/>
    <x v="1"/>
    <x v="7"/>
    <x v="7"/>
    <s v="Monthly Salary received"/>
    <s v="Credit Card"/>
    <x v="790"/>
    <n v="0"/>
    <s v="SBI Salary A/c"/>
    <x v="0"/>
    <s v="0"/>
    <n v="53115.55"/>
    <s v="Yes"/>
  </r>
  <r>
    <s v="TXN-20656"/>
    <x v="366"/>
    <s v="Mar-2025"/>
    <x v="1"/>
    <x v="7"/>
    <x v="7"/>
    <s v="Monthly Salary received"/>
    <s v="Credit Card"/>
    <x v="791"/>
    <n v="0"/>
    <s v="Cash Wallet"/>
    <x v="0"/>
    <s v="0"/>
    <n v="45420.959999999999"/>
    <s v="Yes"/>
  </r>
  <r>
    <s v="TXN-20676"/>
    <x v="367"/>
    <s v="Mar-2025"/>
    <x v="1"/>
    <x v="7"/>
    <x v="7"/>
    <s v="Monthly Salary received"/>
    <s v="Credit Card"/>
    <x v="792"/>
    <n v="0"/>
    <s v="SBI Salary A/c"/>
    <x v="0"/>
    <s v="0"/>
    <n v="53736.11"/>
    <s v="Yes"/>
  </r>
  <r>
    <s v="TXN-20033"/>
    <x v="367"/>
    <s v="Mar-2025"/>
    <x v="1"/>
    <x v="7"/>
    <x v="7"/>
    <s v="Monthly Salary received"/>
    <s v="UPI"/>
    <x v="793"/>
    <n v="0"/>
    <s v="ICICI Credit Card"/>
    <x v="0"/>
    <s v="0"/>
    <n v="44082.94"/>
    <s v="Yes"/>
  </r>
  <r>
    <s v="TXN-20579"/>
    <x v="367"/>
    <s v="Mar-2025"/>
    <x v="0"/>
    <x v="4"/>
    <x v="16"/>
    <s v="Local Market payment"/>
    <s v="Debit Card"/>
    <x v="794"/>
    <n v="6000"/>
    <s v="ICICI Credit Card"/>
    <x v="1"/>
    <n v="-2177.2199999999998"/>
    <n v="-3822.78"/>
    <s v="No"/>
  </r>
  <r>
    <s v="TXN-20024"/>
    <x v="368"/>
    <s v="Mar-2025"/>
    <x v="1"/>
    <x v="7"/>
    <x v="7"/>
    <s v="Monthly Salary received"/>
    <s v="UPI"/>
    <x v="795"/>
    <n v="0"/>
    <s v="HDFC Savings"/>
    <x v="0"/>
    <s v="0"/>
    <n v="43228.12"/>
    <s v="Yes"/>
  </r>
  <r>
    <s v="TXN-20188"/>
    <x v="368"/>
    <s v="Mar-2025"/>
    <x v="0"/>
    <x v="5"/>
    <x v="5"/>
    <s v="House Rent payment"/>
    <s v="Debit Card"/>
    <x v="796"/>
    <n v="15000"/>
    <s v="ICICI Credit Card"/>
    <x v="0"/>
    <n v="-3885.51"/>
    <n v="-11114.49"/>
    <s v="No"/>
  </r>
  <r>
    <s v="TXN-20996"/>
    <x v="368"/>
    <s v="Mar-2025"/>
    <x v="1"/>
    <x v="7"/>
    <x v="7"/>
    <s v="Monthly Salary received"/>
    <s v="UPI"/>
    <x v="797"/>
    <n v="0"/>
    <s v="ICICI Credit Card"/>
    <x v="0"/>
    <s v="0"/>
    <n v="49803.25"/>
    <s v="Yes"/>
  </r>
  <r>
    <s v="TXN-20675"/>
    <x v="369"/>
    <s v="Mar-2025"/>
    <x v="1"/>
    <x v="7"/>
    <x v="7"/>
    <s v="Monthly Salary received"/>
    <s v="Net Banking"/>
    <x v="798"/>
    <n v="0"/>
    <s v="ICICI Credit Card"/>
    <x v="0"/>
    <s v="0"/>
    <n v="50458.42"/>
    <s v="Yes"/>
  </r>
  <r>
    <s v="TXN-20507"/>
    <x v="369"/>
    <s v="Mar-2025"/>
    <x v="0"/>
    <x v="0"/>
    <x v="8"/>
    <s v="Home Loan EMI payment"/>
    <s v="UPI"/>
    <x v="799"/>
    <n v="12000"/>
    <s v="HDFC Savings"/>
    <x v="0"/>
    <n v="-3641.2900000000009"/>
    <n v="-8358.7099999999991"/>
    <s v="No"/>
  </r>
  <r>
    <s v="TXN-20037"/>
    <x v="370"/>
    <s v="Mar-2025"/>
    <x v="0"/>
    <x v="6"/>
    <x v="26"/>
    <s v="Fuel payment"/>
    <s v="UPI"/>
    <x v="800"/>
    <n v="3500"/>
    <s v="ICICI Credit Card"/>
    <x v="1"/>
    <n v="-1408.1399999999999"/>
    <n v="-2091.86"/>
    <s v="No"/>
  </r>
  <r>
    <s v="TXN-20862"/>
    <x v="370"/>
    <s v="Mar-2025"/>
    <x v="1"/>
    <x v="7"/>
    <x v="7"/>
    <s v="Monthly Salary received"/>
    <s v="UPI"/>
    <x v="801"/>
    <n v="0"/>
    <s v="HDFC Savings"/>
    <x v="0"/>
    <s v="0"/>
    <n v="47878.13"/>
    <s v="Yes"/>
  </r>
  <r>
    <s v="TXN-20851"/>
    <x v="371"/>
    <s v="Mar-2025"/>
    <x v="0"/>
    <x v="3"/>
    <x v="15"/>
    <s v="Clothing payment"/>
    <s v="Credit Card"/>
    <x v="802"/>
    <n v="4000"/>
    <s v="HDFC Savings"/>
    <x v="1"/>
    <n v="923.82999999999993"/>
    <n v="-4923.83"/>
    <s v="Yes"/>
  </r>
  <r>
    <s v="TXN-20850"/>
    <x v="372"/>
    <s v="Mar-2025"/>
    <x v="0"/>
    <x v="0"/>
    <x v="0"/>
    <s v="Personal Loan EMI payment"/>
    <s v="Credit Card"/>
    <x v="803"/>
    <n v="12000"/>
    <s v="HDFC Savings"/>
    <x v="0"/>
    <n v="-845.20000000000073"/>
    <n v="-11154.8"/>
    <s v="No"/>
  </r>
  <r>
    <s v="TXN-20304"/>
    <x v="372"/>
    <s v="Mar-2025"/>
    <x v="0"/>
    <x v="10"/>
    <x v="17"/>
    <s v="Pharmacy payment"/>
    <s v="UPI"/>
    <x v="804"/>
    <n v="2000"/>
    <s v="SBI Salary A/c"/>
    <x v="1"/>
    <n v="45.089999999999918"/>
    <n v="-2045.09"/>
    <s v="Yes"/>
  </r>
  <r>
    <s v="TXN-20778"/>
    <x v="372"/>
    <s v="Mar-2025"/>
    <x v="0"/>
    <x v="5"/>
    <x v="5"/>
    <s v="House Rent payment"/>
    <s v="UPI"/>
    <x v="805"/>
    <n v="15000"/>
    <s v="SBI Salary A/c"/>
    <x v="0"/>
    <n v="948.40999999999985"/>
    <n v="-15948.41"/>
    <s v="Yes"/>
  </r>
  <r>
    <s v="TXN-20071"/>
    <x v="373"/>
    <s v="Mar-2025"/>
    <x v="0"/>
    <x v="5"/>
    <x v="5"/>
    <s v="House Rent payment"/>
    <s v="UPI"/>
    <x v="806"/>
    <n v="15000"/>
    <s v="ICICI Credit Card"/>
    <x v="0"/>
    <n v="-2756.6800000000003"/>
    <n v="-12243.32"/>
    <s v="No"/>
  </r>
  <r>
    <s v="TXN-20663"/>
    <x v="373"/>
    <s v="Mar-2025"/>
    <x v="0"/>
    <x v="0"/>
    <x v="8"/>
    <s v="Home Loan EMI payment"/>
    <s v="Debit Card"/>
    <x v="807"/>
    <n v="12000"/>
    <s v="HDFC Savings"/>
    <x v="0"/>
    <n v="57.860000000000582"/>
    <n v="-12057.86"/>
    <s v="Yes"/>
  </r>
  <r>
    <s v="TXN-20992"/>
    <x v="374"/>
    <s v="Mar-2025"/>
    <x v="0"/>
    <x v="2"/>
    <x v="2"/>
    <s v="Internet Bill payment"/>
    <s v="Net Banking"/>
    <x v="808"/>
    <n v="3000"/>
    <s v="Cash Wallet"/>
    <x v="0"/>
    <n v="-704.65999999999985"/>
    <n v="-2295.34"/>
    <s v="No"/>
  </r>
  <r>
    <s v="TXN-20967"/>
    <x v="374"/>
    <s v="Mar-2025"/>
    <x v="0"/>
    <x v="10"/>
    <x v="24"/>
    <s v="Health Insurance payment"/>
    <s v="Credit Card"/>
    <x v="809"/>
    <n v="2000"/>
    <s v="ICICI Credit Card"/>
    <x v="1"/>
    <n v="-257.49"/>
    <n v="-1742.51"/>
    <s v="No"/>
  </r>
  <r>
    <s v="TXN-20722"/>
    <x v="375"/>
    <s v="Mar-2025"/>
    <x v="0"/>
    <x v="4"/>
    <x v="4"/>
    <s v="Supermarket payment"/>
    <s v="Debit Card"/>
    <x v="810"/>
    <n v="6000"/>
    <s v="HDFC Savings"/>
    <x v="1"/>
    <n v="-2240.6"/>
    <n v="-3759.4"/>
    <s v="No"/>
  </r>
  <r>
    <s v="TXN-20395"/>
    <x v="376"/>
    <s v="Mar-2025"/>
    <x v="0"/>
    <x v="10"/>
    <x v="24"/>
    <s v="Health Insurance payment"/>
    <s v="UPI"/>
    <x v="811"/>
    <n v="2000"/>
    <s v="SBI Salary A/c"/>
    <x v="1"/>
    <n v="-951.71"/>
    <n v="-1048.29"/>
    <s v="No"/>
  </r>
  <r>
    <s v="TXN-20452"/>
    <x v="376"/>
    <s v="Mar-2025"/>
    <x v="0"/>
    <x v="1"/>
    <x v="9"/>
    <s v="Streaming Subscription payment"/>
    <s v="Debit Card"/>
    <x v="812"/>
    <n v="2500"/>
    <s v="HDFC Savings"/>
    <x v="1"/>
    <n v="-589.68000000000006"/>
    <n v="-1910.32"/>
    <s v="No"/>
  </r>
  <r>
    <s v="TXN-20303"/>
    <x v="376"/>
    <s v="Mar-2025"/>
    <x v="0"/>
    <x v="10"/>
    <x v="27"/>
    <s v="Doctor Visit payment"/>
    <s v="Cash"/>
    <x v="813"/>
    <n v="2000"/>
    <s v="HDFC Savings"/>
    <x v="1"/>
    <n v="328.76000000000022"/>
    <n v="-2328.7600000000002"/>
    <s v="Yes"/>
  </r>
  <r>
    <s v="TXN-20806"/>
    <x v="376"/>
    <s v="Mar-2025"/>
    <x v="0"/>
    <x v="3"/>
    <x v="15"/>
    <s v="Clothing payment"/>
    <s v="Credit Card"/>
    <x v="814"/>
    <n v="4000"/>
    <s v="SBI Salary A/c"/>
    <x v="1"/>
    <n v="660.59000000000015"/>
    <n v="-4660.59"/>
    <s v="Yes"/>
  </r>
  <r>
    <s v="TXN-20786"/>
    <x v="376"/>
    <s v="Mar-2025"/>
    <x v="0"/>
    <x v="11"/>
    <x v="21"/>
    <s v="Fixed Deposit payment"/>
    <s v="UPI"/>
    <x v="815"/>
    <n v="8000"/>
    <s v="ICICI Credit Card"/>
    <x v="0"/>
    <n v="1070.5"/>
    <n v="-9070.5"/>
    <s v="Yes"/>
  </r>
  <r>
    <s v="TXN-20448"/>
    <x v="377"/>
    <s v="Mar-2025"/>
    <x v="0"/>
    <x v="6"/>
    <x v="26"/>
    <s v="Fuel payment"/>
    <s v="Credit Card"/>
    <x v="816"/>
    <n v="3500"/>
    <s v="Cash Wallet"/>
    <x v="1"/>
    <n v="-449.61999999999989"/>
    <n v="-3050.38"/>
    <s v="No"/>
  </r>
  <r>
    <s v="TXN-20182"/>
    <x v="377"/>
    <s v="Mar-2025"/>
    <x v="0"/>
    <x v="10"/>
    <x v="17"/>
    <s v="Pharmacy payment"/>
    <s v="Credit Card"/>
    <x v="817"/>
    <n v="2000"/>
    <s v="HDFC Savings"/>
    <x v="1"/>
    <n v="-49.299999999999955"/>
    <n v="-1950.7"/>
    <s v="No"/>
  </r>
  <r>
    <s v="TXN-20638"/>
    <x v="378"/>
    <s v="Mar-2025"/>
    <x v="0"/>
    <x v="5"/>
    <x v="5"/>
    <s v="House Rent payment"/>
    <s v="UPI"/>
    <x v="818"/>
    <n v="15000"/>
    <s v="Cash Wallet"/>
    <x v="0"/>
    <n v="-2837.3500000000004"/>
    <n v="-12162.65"/>
    <s v="No"/>
  </r>
  <r>
    <s v="TXN-20749"/>
    <x v="378"/>
    <s v="Mar-2025"/>
    <x v="0"/>
    <x v="6"/>
    <x v="11"/>
    <s v="Public Transport payment"/>
    <s v="Debit Card"/>
    <x v="819"/>
    <n v="3500"/>
    <s v="ICICI Credit Card"/>
    <x v="1"/>
    <n v="904.04"/>
    <n v="-4404.04"/>
    <s v="Yes"/>
  </r>
  <r>
    <s v="TXN-20631"/>
    <x v="379"/>
    <s v="Mar-2025"/>
    <x v="0"/>
    <x v="0"/>
    <x v="13"/>
    <s v="Car Loan EMI payment"/>
    <s v="Cash"/>
    <x v="820"/>
    <n v="12000"/>
    <s v="HDFC Savings"/>
    <x v="0"/>
    <n v="301.63999999999942"/>
    <n v="-12301.64"/>
    <s v="Yes"/>
  </r>
  <r>
    <s v="TXN-20317"/>
    <x v="380"/>
    <s v="Mar-2025"/>
    <x v="0"/>
    <x v="5"/>
    <x v="5"/>
    <s v="House Rent payment"/>
    <s v="Debit Card"/>
    <x v="821"/>
    <n v="15000"/>
    <s v="Cash Wallet"/>
    <x v="0"/>
    <n v="32.659999999999854"/>
    <n v="-15032.66"/>
    <s v="Yes"/>
  </r>
  <r>
    <s v="TXN-20662"/>
    <x v="380"/>
    <s v="Mar-2025"/>
    <x v="1"/>
    <x v="7"/>
    <x v="7"/>
    <s v="Monthly Salary received"/>
    <s v="Cash"/>
    <x v="822"/>
    <n v="0"/>
    <s v="Cash Wallet"/>
    <x v="0"/>
    <s v="0"/>
    <n v="51091.27"/>
    <s v="Yes"/>
  </r>
  <r>
    <s v="TXN-20763"/>
    <x v="381"/>
    <s v="Apr-2025"/>
    <x v="1"/>
    <x v="12"/>
    <x v="31"/>
    <s v="Dividend received"/>
    <s v="Credit Card"/>
    <x v="823"/>
    <n v="0"/>
    <s v="ICICI Credit Card"/>
    <x v="1"/>
    <s v="0"/>
    <n v="4762.47"/>
    <s v="Yes"/>
  </r>
  <r>
    <s v="TXN-20099"/>
    <x v="381"/>
    <s v="Apr-2025"/>
    <x v="0"/>
    <x v="10"/>
    <x v="24"/>
    <s v="Health Insurance payment"/>
    <s v="Credit Card"/>
    <x v="824"/>
    <n v="2000"/>
    <s v="HDFC Savings"/>
    <x v="1"/>
    <n v="-748.51"/>
    <n v="-1251.49"/>
    <s v="No"/>
  </r>
  <r>
    <s v="TXN-20808"/>
    <x v="381"/>
    <s v="Apr-2025"/>
    <x v="0"/>
    <x v="4"/>
    <x v="16"/>
    <s v="Local Market payment"/>
    <s v="UPI"/>
    <x v="825"/>
    <n v="6000"/>
    <s v="Cash Wallet"/>
    <x v="1"/>
    <n v="1118.5500000000002"/>
    <n v="-7118.55"/>
    <s v="Yes"/>
  </r>
  <r>
    <s v="TXN-20611"/>
    <x v="382"/>
    <s v="Apr-2025"/>
    <x v="1"/>
    <x v="9"/>
    <x v="25"/>
    <s v="Consulting Fee received"/>
    <s v="Credit Card"/>
    <x v="826"/>
    <n v="0"/>
    <s v="SBI Salary A/c"/>
    <x v="1"/>
    <s v="0"/>
    <n v="7570.2"/>
    <s v="Yes"/>
  </r>
  <r>
    <s v="TXN-20464"/>
    <x v="382"/>
    <s v="Apr-2025"/>
    <x v="1"/>
    <x v="7"/>
    <x v="7"/>
    <s v="Monthly Salary received"/>
    <s v="UPI"/>
    <x v="827"/>
    <n v="0"/>
    <s v="ICICI Credit Card"/>
    <x v="0"/>
    <s v="0"/>
    <n v="54590.93"/>
    <s v="Yes"/>
  </r>
  <r>
    <s v="TXN-20439"/>
    <x v="382"/>
    <s v="Apr-2025"/>
    <x v="1"/>
    <x v="7"/>
    <x v="7"/>
    <s v="Monthly Salary received"/>
    <s v="Credit Card"/>
    <x v="828"/>
    <n v="0"/>
    <s v="ICICI Credit Card"/>
    <x v="0"/>
    <s v="0"/>
    <n v="53923.67"/>
    <s v="Yes"/>
  </r>
  <r>
    <s v="TXN-20114"/>
    <x v="382"/>
    <s v="Apr-2025"/>
    <x v="0"/>
    <x v="10"/>
    <x v="24"/>
    <s v="Health Insurance payment"/>
    <s v="UPI"/>
    <x v="829"/>
    <n v="2000"/>
    <s v="ICICI Credit Card"/>
    <x v="1"/>
    <n v="-511.07999999999993"/>
    <n v="-1488.92"/>
    <s v="No"/>
  </r>
  <r>
    <s v="TXN-20232"/>
    <x v="382"/>
    <s v="Apr-2025"/>
    <x v="0"/>
    <x v="6"/>
    <x v="11"/>
    <s v="Public Transport payment"/>
    <s v="Credit Card"/>
    <x v="830"/>
    <n v="3500"/>
    <s v="SBI Salary A/c"/>
    <x v="1"/>
    <n v="-1632.61"/>
    <n v="-1867.39"/>
    <s v="No"/>
  </r>
  <r>
    <s v="TXN-20333"/>
    <x v="383"/>
    <s v="Apr-2025"/>
    <x v="0"/>
    <x v="4"/>
    <x v="16"/>
    <s v="Local Market payment"/>
    <s v="UPI"/>
    <x v="831"/>
    <n v="6000"/>
    <s v="SBI Salary A/c"/>
    <x v="1"/>
    <n v="35.520000000000437"/>
    <n v="-6035.52"/>
    <s v="Yes"/>
  </r>
  <r>
    <s v="TXN-20470"/>
    <x v="383"/>
    <s v="Apr-2025"/>
    <x v="0"/>
    <x v="4"/>
    <x v="4"/>
    <s v="Supermarket payment"/>
    <s v="Credit Card"/>
    <x v="832"/>
    <n v="6000"/>
    <s v="Cash Wallet"/>
    <x v="1"/>
    <n v="-102.27999999999975"/>
    <n v="-5897.72"/>
    <s v="No"/>
  </r>
  <r>
    <s v="TXN-20146"/>
    <x v="383"/>
    <s v="Apr-2025"/>
    <x v="0"/>
    <x v="0"/>
    <x v="8"/>
    <s v="Home Loan EMI payment"/>
    <s v="Credit Card"/>
    <x v="833"/>
    <n v="12000"/>
    <s v="ICICI Credit Card"/>
    <x v="0"/>
    <n v="-791.78000000000065"/>
    <n v="-11208.22"/>
    <s v="No"/>
  </r>
  <r>
    <s v="TXN-20286"/>
    <x v="384"/>
    <s v="Apr-2025"/>
    <x v="0"/>
    <x v="3"/>
    <x v="23"/>
    <s v="Online Shopping payment"/>
    <s v="Cash"/>
    <x v="834"/>
    <n v="4000"/>
    <s v="SBI Salary A/c"/>
    <x v="1"/>
    <n v="1183.67"/>
    <n v="-5183.67"/>
    <s v="Yes"/>
  </r>
  <r>
    <s v="TXN-20012"/>
    <x v="384"/>
    <s v="Apr-2025"/>
    <x v="0"/>
    <x v="1"/>
    <x v="22"/>
    <s v="Outing payment"/>
    <s v="Credit Card"/>
    <x v="835"/>
    <n v="2500"/>
    <s v="Cash Wallet"/>
    <x v="1"/>
    <n v="347.78999999999996"/>
    <n v="-2847.79"/>
    <s v="Yes"/>
  </r>
  <r>
    <s v="TXN-20437"/>
    <x v="385"/>
    <s v="Apr-2025"/>
    <x v="0"/>
    <x v="3"/>
    <x v="3"/>
    <s v="Electronics payment"/>
    <s v="Debit Card"/>
    <x v="836"/>
    <n v="4000"/>
    <s v="SBI Salary A/c"/>
    <x v="1"/>
    <n v="-1394.6"/>
    <n v="-2605.4"/>
    <s v="No"/>
  </r>
  <r>
    <s v="TXN-20247"/>
    <x v="385"/>
    <s v="Apr-2025"/>
    <x v="0"/>
    <x v="10"/>
    <x v="17"/>
    <s v="Pharmacy payment"/>
    <s v="Credit Card"/>
    <x v="837"/>
    <n v="2000"/>
    <s v="SBI Salary A/c"/>
    <x v="0"/>
    <n v="-577.68000000000006"/>
    <n v="-1422.32"/>
    <s v="No"/>
  </r>
  <r>
    <s v="TXN-20205"/>
    <x v="386"/>
    <s v="Apr-2025"/>
    <x v="0"/>
    <x v="4"/>
    <x v="4"/>
    <s v="Supermarket payment"/>
    <s v="Credit Card"/>
    <x v="838"/>
    <n v="6000"/>
    <s v="HDFC Savings"/>
    <x v="1"/>
    <n v="-1879.6899999999996"/>
    <n v="-4120.3100000000004"/>
    <s v="No"/>
  </r>
  <r>
    <s v="TXN-20433"/>
    <x v="386"/>
    <s v="Apr-2025"/>
    <x v="0"/>
    <x v="6"/>
    <x v="6"/>
    <s v="Cab/Taxi payment"/>
    <s v="Net Banking"/>
    <x v="839"/>
    <n v="3500"/>
    <s v="SBI Salary A/c"/>
    <x v="1"/>
    <n v="-555.80000000000018"/>
    <n v="-2944.2"/>
    <s v="No"/>
  </r>
  <r>
    <s v="TXN-20132"/>
    <x v="386"/>
    <s v="Apr-2025"/>
    <x v="0"/>
    <x v="5"/>
    <x v="5"/>
    <s v="House Rent payment"/>
    <s v="Cash"/>
    <x v="840"/>
    <n v="15000"/>
    <s v="SBI Salary A/c"/>
    <x v="0"/>
    <n v="-1283.2800000000007"/>
    <n v="-13716.72"/>
    <s v="No"/>
  </r>
  <r>
    <s v="TXN-20879"/>
    <x v="386"/>
    <s v="Apr-2025"/>
    <x v="0"/>
    <x v="3"/>
    <x v="15"/>
    <s v="Clothing payment"/>
    <s v="UPI"/>
    <x v="841"/>
    <n v="4000"/>
    <s v="HDFC Savings"/>
    <x v="1"/>
    <n v="968.65999999999985"/>
    <n v="-4968.66"/>
    <s v="Yes"/>
  </r>
  <r>
    <s v="TXN-20231"/>
    <x v="387"/>
    <s v="Apr-2025"/>
    <x v="0"/>
    <x v="2"/>
    <x v="30"/>
    <s v="Water Bill payment"/>
    <s v="UPI"/>
    <x v="842"/>
    <n v="3000"/>
    <s v="ICICI Credit Card"/>
    <x v="0"/>
    <n v="-395.38000000000011"/>
    <n v="-2604.62"/>
    <s v="No"/>
  </r>
  <r>
    <s v="TXN-20293"/>
    <x v="387"/>
    <s v="Apr-2025"/>
    <x v="1"/>
    <x v="7"/>
    <x v="7"/>
    <s v="Monthly Salary received"/>
    <s v="Debit Card"/>
    <x v="843"/>
    <n v="0"/>
    <s v="SBI Salary A/c"/>
    <x v="0"/>
    <s v="0"/>
    <n v="40835.18"/>
    <s v="Yes"/>
  </r>
  <r>
    <s v="TXN-20707"/>
    <x v="387"/>
    <s v="Apr-2025"/>
    <x v="0"/>
    <x v="4"/>
    <x v="4"/>
    <s v="Supermarket payment"/>
    <s v="UPI"/>
    <x v="844"/>
    <n v="6000"/>
    <s v="SBI Salary A/c"/>
    <x v="1"/>
    <n v="-2921.17"/>
    <n v="-3078.83"/>
    <s v="No"/>
  </r>
  <r>
    <s v="TXN-20684"/>
    <x v="387"/>
    <s v="Apr-2025"/>
    <x v="0"/>
    <x v="11"/>
    <x v="28"/>
    <s v="Stocks payment"/>
    <s v="Debit Card"/>
    <x v="845"/>
    <n v="8000"/>
    <s v="HDFC Savings"/>
    <x v="0"/>
    <n v="-894.42000000000007"/>
    <n v="-7105.58"/>
    <s v="No"/>
  </r>
  <r>
    <s v="TXN-20263"/>
    <x v="387"/>
    <s v="Apr-2025"/>
    <x v="0"/>
    <x v="5"/>
    <x v="5"/>
    <s v="House Rent payment"/>
    <s v="UPI"/>
    <x v="846"/>
    <n v="15000"/>
    <s v="Cash Wallet"/>
    <x v="0"/>
    <n v="-2452.0599999999995"/>
    <n v="-12547.94"/>
    <s v="No"/>
  </r>
  <r>
    <s v="TXN-20369"/>
    <x v="388"/>
    <s v="Apr-2025"/>
    <x v="0"/>
    <x v="4"/>
    <x v="16"/>
    <s v="Local Market payment"/>
    <s v="Credit Card"/>
    <x v="847"/>
    <n v="6000"/>
    <s v="Cash Wallet"/>
    <x v="1"/>
    <n v="-619.97999999999956"/>
    <n v="-5380.02"/>
    <s v="No"/>
  </r>
  <r>
    <s v="TXN-20654"/>
    <x v="388"/>
    <s v="Apr-2025"/>
    <x v="0"/>
    <x v="10"/>
    <x v="24"/>
    <s v="Health Insurance payment"/>
    <s v="Debit Card"/>
    <x v="848"/>
    <n v="2000"/>
    <s v="SBI Salary A/c"/>
    <x v="1"/>
    <n v="282.15999999999985"/>
    <n v="-2282.16"/>
    <s v="Yes"/>
  </r>
  <r>
    <s v="TXN-20914"/>
    <x v="389"/>
    <s v="Apr-2025"/>
    <x v="0"/>
    <x v="1"/>
    <x v="9"/>
    <s v="Streaming Subscription payment"/>
    <s v="UPI"/>
    <x v="849"/>
    <n v="2500"/>
    <s v="SBI Salary A/c"/>
    <x v="1"/>
    <n v="14.9699999999998"/>
    <n v="-2514.9699999999998"/>
    <s v="Yes"/>
  </r>
  <r>
    <s v="TXN-20687"/>
    <x v="390"/>
    <s v="Apr-2025"/>
    <x v="0"/>
    <x v="10"/>
    <x v="17"/>
    <s v="Pharmacy payment"/>
    <s v="UPI"/>
    <x v="850"/>
    <n v="2000"/>
    <s v="Cash Wallet"/>
    <x v="0"/>
    <n v="509.2800000000002"/>
    <n v="-2509.2800000000002"/>
    <s v="Yes"/>
  </r>
  <r>
    <s v="TXN-20775"/>
    <x v="390"/>
    <s v="Apr-2025"/>
    <x v="0"/>
    <x v="2"/>
    <x v="2"/>
    <s v="Internet Bill payment"/>
    <s v="Credit Card"/>
    <x v="851"/>
    <n v="3000"/>
    <s v="HDFC Savings"/>
    <x v="0"/>
    <n v="204.94999999999982"/>
    <n v="-3204.95"/>
    <s v="Yes"/>
  </r>
  <r>
    <s v="TXN-20682"/>
    <x v="390"/>
    <s v="Apr-2025"/>
    <x v="0"/>
    <x v="8"/>
    <x v="10"/>
    <s v="Books payment"/>
    <s v="Credit Card"/>
    <x v="852"/>
    <n v="2000"/>
    <s v="HDFC Savings"/>
    <x v="1"/>
    <n v="-161.98000000000002"/>
    <n v="-1838.02"/>
    <s v="No"/>
  </r>
  <r>
    <s v="TXN-20839"/>
    <x v="391"/>
    <s v="Apr-2025"/>
    <x v="1"/>
    <x v="9"/>
    <x v="25"/>
    <s v="Consulting Fee received"/>
    <s v="UPI"/>
    <x v="853"/>
    <n v="0"/>
    <s v="ICICI Credit Card"/>
    <x v="1"/>
    <s v="0"/>
    <n v="3259.65"/>
    <s v="Yes"/>
  </r>
  <r>
    <s v="TXN-20265"/>
    <x v="391"/>
    <s v="Apr-2025"/>
    <x v="0"/>
    <x v="5"/>
    <x v="5"/>
    <s v="House Rent payment"/>
    <s v="UPI"/>
    <x v="854"/>
    <n v="15000"/>
    <s v="SBI Salary A/c"/>
    <x v="0"/>
    <n v="-6676.0499999999993"/>
    <n v="-8323.9500000000007"/>
    <s v="No"/>
  </r>
  <r>
    <s v="TXN-20686"/>
    <x v="391"/>
    <s v="Apr-2025"/>
    <x v="0"/>
    <x v="0"/>
    <x v="0"/>
    <s v="Personal Loan EMI payment"/>
    <s v="Credit Card"/>
    <x v="855"/>
    <n v="12000"/>
    <s v="SBI Salary A/c"/>
    <x v="0"/>
    <n v="1492.8700000000008"/>
    <n v="-13492.87"/>
    <s v="Yes"/>
  </r>
  <r>
    <s v="TXN-20859"/>
    <x v="391"/>
    <s v="Apr-2025"/>
    <x v="0"/>
    <x v="10"/>
    <x v="27"/>
    <s v="Doctor Visit payment"/>
    <s v="Cash"/>
    <x v="856"/>
    <n v="2000"/>
    <s v="Cash Wallet"/>
    <x v="1"/>
    <n v="-980.34"/>
    <n v="-1019.66"/>
    <s v="No"/>
  </r>
  <r>
    <s v="TXN-20119"/>
    <x v="392"/>
    <s v="Apr-2025"/>
    <x v="0"/>
    <x v="3"/>
    <x v="15"/>
    <s v="Clothing payment"/>
    <s v="Debit Card"/>
    <x v="857"/>
    <n v="4000"/>
    <s v="SBI Salary A/c"/>
    <x v="0"/>
    <n v="-687.5"/>
    <n v="-3312.5"/>
    <s v="No"/>
  </r>
  <r>
    <s v="TXN-20297"/>
    <x v="393"/>
    <s v="Apr-2025"/>
    <x v="1"/>
    <x v="7"/>
    <x v="7"/>
    <s v="Monthly Salary received"/>
    <s v="UPI"/>
    <x v="858"/>
    <n v="0"/>
    <s v="SBI Salary A/c"/>
    <x v="0"/>
    <s v="0"/>
    <n v="44864.3"/>
    <s v="Yes"/>
  </r>
  <r>
    <s v="TXN-20229"/>
    <x v="393"/>
    <s v="Apr-2025"/>
    <x v="0"/>
    <x v="4"/>
    <x v="4"/>
    <s v="Supermarket payment"/>
    <s v="UPI"/>
    <x v="859"/>
    <n v="6000"/>
    <s v="HDFC Savings"/>
    <x v="1"/>
    <n v="774.8100000000004"/>
    <n v="-6774.81"/>
    <s v="Yes"/>
  </r>
  <r>
    <s v="TXN-20830"/>
    <x v="393"/>
    <s v="Apr-2025"/>
    <x v="0"/>
    <x v="3"/>
    <x v="15"/>
    <s v="Clothing payment"/>
    <s v="Net Banking"/>
    <x v="860"/>
    <n v="4000"/>
    <s v="ICICI Credit Card"/>
    <x v="0"/>
    <n v="-1425.54"/>
    <n v="-2574.46"/>
    <s v="No"/>
  </r>
  <r>
    <s v="TXN-20701"/>
    <x v="393"/>
    <s v="Apr-2025"/>
    <x v="0"/>
    <x v="4"/>
    <x v="16"/>
    <s v="Local Market payment"/>
    <s v="UPI"/>
    <x v="861"/>
    <n v="6000"/>
    <s v="Cash Wallet"/>
    <x v="1"/>
    <n v="-624.89999999999964"/>
    <n v="-5375.1"/>
    <s v="No"/>
  </r>
  <r>
    <s v="TXN-20828"/>
    <x v="394"/>
    <s v="Apr-2025"/>
    <x v="0"/>
    <x v="11"/>
    <x v="19"/>
    <s v="Mutual Fund SIP payment"/>
    <s v="Credit Card"/>
    <x v="862"/>
    <n v="8000"/>
    <s v="ICICI Credit Card"/>
    <x v="0"/>
    <n v="133.98999999999978"/>
    <n v="-8133.99"/>
    <s v="Yes"/>
  </r>
  <r>
    <s v="TXN-20760"/>
    <x v="394"/>
    <s v="Apr-2025"/>
    <x v="0"/>
    <x v="4"/>
    <x v="4"/>
    <s v="Supermarket payment"/>
    <s v="Debit Card"/>
    <x v="863"/>
    <n v="6000"/>
    <s v="ICICI Credit Card"/>
    <x v="0"/>
    <n v="415.27000000000044"/>
    <n v="-6415.27"/>
    <s v="Yes"/>
  </r>
  <r>
    <s v="TXN-20276"/>
    <x v="395"/>
    <s v="Apr-2025"/>
    <x v="0"/>
    <x v="0"/>
    <x v="13"/>
    <s v="Car Loan EMI payment"/>
    <s v="Net Banking"/>
    <x v="864"/>
    <n v="12000"/>
    <s v="Cash Wallet"/>
    <x v="0"/>
    <n v="739.04000000000087"/>
    <n v="-12739.04"/>
    <s v="Yes"/>
  </r>
  <r>
    <s v="TXN-20011"/>
    <x v="396"/>
    <s v="Apr-2025"/>
    <x v="0"/>
    <x v="0"/>
    <x v="13"/>
    <s v="Car Loan EMI payment"/>
    <s v="Net Banking"/>
    <x v="865"/>
    <n v="12000"/>
    <s v="HDFC Savings"/>
    <x v="0"/>
    <n v="-1465.6900000000005"/>
    <n v="-10534.31"/>
    <s v="No"/>
  </r>
  <r>
    <s v="TXN-20805"/>
    <x v="397"/>
    <s v="Apr-2025"/>
    <x v="0"/>
    <x v="6"/>
    <x v="11"/>
    <s v="Public Transport payment"/>
    <s v="Net Banking"/>
    <x v="866"/>
    <n v="3500"/>
    <s v="Cash Wallet"/>
    <x v="1"/>
    <n v="-1575.39"/>
    <n v="-1924.61"/>
    <s v="No"/>
  </r>
  <r>
    <s v="TXN-20238"/>
    <x v="397"/>
    <s v="Apr-2025"/>
    <x v="0"/>
    <x v="0"/>
    <x v="13"/>
    <s v="Car Loan EMI payment"/>
    <s v="UPI"/>
    <x v="867"/>
    <n v="12000"/>
    <s v="ICICI Credit Card"/>
    <x v="0"/>
    <n v="3234.99"/>
    <n v="-15234.99"/>
    <s v="Yes"/>
  </r>
  <r>
    <s v="TXN-20429"/>
    <x v="398"/>
    <s v="Apr-2025"/>
    <x v="0"/>
    <x v="3"/>
    <x v="15"/>
    <s v="Clothing payment"/>
    <s v="UPI"/>
    <x v="868"/>
    <n v="4000"/>
    <s v="HDFC Savings"/>
    <x v="1"/>
    <n v="331.07999999999993"/>
    <n v="-4331.08"/>
    <s v="Yes"/>
  </r>
  <r>
    <s v="TXN-20147"/>
    <x v="398"/>
    <s v="Apr-2025"/>
    <x v="0"/>
    <x v="0"/>
    <x v="0"/>
    <s v="Personal Loan EMI payment"/>
    <s v="Net Banking"/>
    <x v="869"/>
    <n v="12000"/>
    <s v="ICICI Credit Card"/>
    <x v="0"/>
    <n v="2308.75"/>
    <n v="-14308.75"/>
    <s v="Yes"/>
  </r>
  <r>
    <s v="TXN-20047"/>
    <x v="398"/>
    <s v="Apr-2025"/>
    <x v="0"/>
    <x v="3"/>
    <x v="3"/>
    <s v="Electronics payment"/>
    <s v="Credit Card"/>
    <x v="870"/>
    <n v="4000"/>
    <s v="SBI Salary A/c"/>
    <x v="1"/>
    <n v="-1565.21"/>
    <n v="-2434.79"/>
    <s v="No"/>
  </r>
  <r>
    <s v="TXN-20226"/>
    <x v="399"/>
    <s v="Apr-2025"/>
    <x v="0"/>
    <x v="10"/>
    <x v="24"/>
    <s v="Health Insurance payment"/>
    <s v="Net Banking"/>
    <x v="871"/>
    <n v="2000"/>
    <s v="Cash Wallet"/>
    <x v="1"/>
    <n v="411.44000000000005"/>
    <n v="-2411.44"/>
    <s v="Yes"/>
  </r>
  <r>
    <s v="TXN-20874"/>
    <x v="399"/>
    <s v="Apr-2025"/>
    <x v="0"/>
    <x v="6"/>
    <x v="26"/>
    <s v="Fuel payment"/>
    <s v="Credit Card"/>
    <x v="872"/>
    <n v="3500"/>
    <s v="SBI Salary A/c"/>
    <x v="0"/>
    <n v="-1446.02"/>
    <n v="-2053.98"/>
    <s v="No"/>
  </r>
  <r>
    <s v="TXN-20377"/>
    <x v="399"/>
    <s v="Apr-2025"/>
    <x v="0"/>
    <x v="4"/>
    <x v="4"/>
    <s v="Supermarket payment"/>
    <s v="Net Banking"/>
    <x v="873"/>
    <n v="6000"/>
    <s v="SBI Salary A/c"/>
    <x v="0"/>
    <n v="-706.22999999999956"/>
    <n v="-5293.77"/>
    <s v="No"/>
  </r>
  <r>
    <s v="TXN-20426"/>
    <x v="400"/>
    <s v="Apr-2025"/>
    <x v="1"/>
    <x v="9"/>
    <x v="25"/>
    <s v="Consulting Fee received"/>
    <s v="UPI"/>
    <x v="874"/>
    <n v="0"/>
    <s v="ICICI Credit Card"/>
    <x v="1"/>
    <s v="0"/>
    <n v="9533.0499999999993"/>
    <s v="Yes"/>
  </r>
  <r>
    <s v="TXN-20465"/>
    <x v="400"/>
    <s v="Apr-2025"/>
    <x v="0"/>
    <x v="4"/>
    <x v="16"/>
    <s v="Local Market payment"/>
    <s v="Cash"/>
    <x v="875"/>
    <n v="6000"/>
    <s v="Cash Wallet"/>
    <x v="1"/>
    <n v="417.4399999999996"/>
    <n v="-6417.44"/>
    <s v="Yes"/>
  </r>
  <r>
    <s v="TXN-20420"/>
    <x v="400"/>
    <s v="Apr-2025"/>
    <x v="0"/>
    <x v="8"/>
    <x v="20"/>
    <s v="Course Fee payment"/>
    <s v="UPI"/>
    <x v="876"/>
    <n v="2000"/>
    <s v="HDFC Savings"/>
    <x v="1"/>
    <n v="-52.920000000000073"/>
    <n v="-1947.08"/>
    <s v="No"/>
  </r>
  <r>
    <s v="TXN-20032"/>
    <x v="400"/>
    <s v="Apr-2025"/>
    <x v="1"/>
    <x v="9"/>
    <x v="14"/>
    <s v="Project Payment received"/>
    <s v="Net Banking"/>
    <x v="877"/>
    <n v="0"/>
    <s v="SBI Salary A/c"/>
    <x v="1"/>
    <s v="0"/>
    <n v="11895.2"/>
    <s v="Yes"/>
  </r>
  <r>
    <s v="TXN-20239"/>
    <x v="401"/>
    <s v="Apr-2025"/>
    <x v="0"/>
    <x v="6"/>
    <x v="11"/>
    <s v="Public Transport payment"/>
    <s v="Debit Card"/>
    <x v="878"/>
    <n v="3500"/>
    <s v="HDFC Savings"/>
    <x v="0"/>
    <n v="-544.98"/>
    <n v="-2955.02"/>
    <s v="No"/>
  </r>
  <r>
    <s v="TXN-20080"/>
    <x v="401"/>
    <s v="Apr-2025"/>
    <x v="0"/>
    <x v="2"/>
    <x v="12"/>
    <s v="Mobile Recharge payment"/>
    <s v="Debit Card"/>
    <x v="879"/>
    <n v="3000"/>
    <s v="HDFC Savings"/>
    <x v="0"/>
    <n v="-16.349999999999909"/>
    <n v="-2983.65"/>
    <s v="No"/>
  </r>
  <r>
    <s v="TXN-20469"/>
    <x v="402"/>
    <s v="Apr-2025"/>
    <x v="0"/>
    <x v="10"/>
    <x v="27"/>
    <s v="Doctor Visit payment"/>
    <s v="Debit Card"/>
    <x v="880"/>
    <n v="2000"/>
    <s v="HDFC Savings"/>
    <x v="1"/>
    <n v="580"/>
    <n v="-2580"/>
    <s v="Yes"/>
  </r>
  <r>
    <s v="TXN-20399"/>
    <x v="403"/>
    <s v="Apr-2025"/>
    <x v="0"/>
    <x v="4"/>
    <x v="16"/>
    <s v="Local Market payment"/>
    <s v="Debit Card"/>
    <x v="881"/>
    <n v="6000"/>
    <s v="ICICI Credit Card"/>
    <x v="1"/>
    <n v="-2900.13"/>
    <n v="-3099.87"/>
    <s v="No"/>
  </r>
  <r>
    <s v="TXN-20958"/>
    <x v="403"/>
    <s v="Apr-2025"/>
    <x v="0"/>
    <x v="5"/>
    <x v="5"/>
    <s v="House Rent payment"/>
    <s v="UPI"/>
    <x v="882"/>
    <n v="15000"/>
    <s v="ICICI Credit Card"/>
    <x v="0"/>
    <n v="-3477.6000000000004"/>
    <n v="-11522.4"/>
    <s v="No"/>
  </r>
  <r>
    <s v="TXN-20983"/>
    <x v="403"/>
    <s v="Apr-2025"/>
    <x v="0"/>
    <x v="10"/>
    <x v="27"/>
    <s v="Doctor Visit payment"/>
    <s v="Net Banking"/>
    <x v="883"/>
    <n v="2000"/>
    <s v="HDFC Savings"/>
    <x v="1"/>
    <n v="-739.29"/>
    <n v="-1260.71"/>
    <s v="No"/>
  </r>
  <r>
    <s v="TXN-20838"/>
    <x v="404"/>
    <s v="Apr-2025"/>
    <x v="0"/>
    <x v="3"/>
    <x v="3"/>
    <s v="Electronics payment"/>
    <s v="Net Banking"/>
    <x v="884"/>
    <n v="4000"/>
    <s v="SBI Salary A/c"/>
    <x v="1"/>
    <n v="1123.9899999999998"/>
    <n v="-5123.99"/>
    <s v="Yes"/>
  </r>
  <r>
    <s v="TXN-20559"/>
    <x v="405"/>
    <s v="Apr-2025"/>
    <x v="0"/>
    <x v="1"/>
    <x v="9"/>
    <s v="Streaming Subscription payment"/>
    <s v="Credit Card"/>
    <x v="885"/>
    <n v="2500"/>
    <s v="SBI Salary A/c"/>
    <x v="1"/>
    <n v="-457.51"/>
    <n v="-2042.49"/>
    <s v="No"/>
  </r>
  <r>
    <s v="TXN-20471"/>
    <x v="406"/>
    <s v="Apr-2025"/>
    <x v="0"/>
    <x v="11"/>
    <x v="19"/>
    <s v="Mutual Fund SIP payment"/>
    <s v="UPI"/>
    <x v="886"/>
    <n v="8000"/>
    <s v="Cash Wallet"/>
    <x v="0"/>
    <n v="976.81999999999971"/>
    <n v="-8976.82"/>
    <s v="Yes"/>
  </r>
  <r>
    <s v="TXN-20391"/>
    <x v="406"/>
    <s v="Apr-2025"/>
    <x v="0"/>
    <x v="0"/>
    <x v="13"/>
    <s v="Car Loan EMI payment"/>
    <s v="UPI"/>
    <x v="887"/>
    <n v="12000"/>
    <s v="HDFC Savings"/>
    <x v="0"/>
    <n v="-207.32999999999993"/>
    <n v="-11792.67"/>
    <s v="No"/>
  </r>
  <r>
    <s v="TXN-20954"/>
    <x v="406"/>
    <s v="Apr-2025"/>
    <x v="0"/>
    <x v="10"/>
    <x v="17"/>
    <s v="Pharmacy payment"/>
    <s v="Cash"/>
    <x v="888"/>
    <n v="2000"/>
    <s v="ICICI Credit Card"/>
    <x v="1"/>
    <n v="131.13999999999987"/>
    <n v="-2131.14"/>
    <s v="Yes"/>
  </r>
  <r>
    <s v="TXN-20118"/>
    <x v="407"/>
    <s v="May-2025"/>
    <x v="1"/>
    <x v="7"/>
    <x v="7"/>
    <s v="Monthly Salary received"/>
    <s v="Debit Card"/>
    <x v="889"/>
    <n v="0"/>
    <s v="ICICI Credit Card"/>
    <x v="0"/>
    <s v="0"/>
    <n v="52285.45"/>
    <s v="Yes"/>
  </r>
  <r>
    <s v="TXN-20890"/>
    <x v="407"/>
    <s v="May-2025"/>
    <x v="0"/>
    <x v="4"/>
    <x v="16"/>
    <s v="Local Market payment"/>
    <s v="Net Banking"/>
    <x v="890"/>
    <n v="6000"/>
    <s v="ICICI Credit Card"/>
    <x v="0"/>
    <n v="1092.8999999999996"/>
    <n v="-7092.9"/>
    <s v="Yes"/>
  </r>
  <r>
    <s v="TXN-20476"/>
    <x v="407"/>
    <s v="May-2025"/>
    <x v="0"/>
    <x v="2"/>
    <x v="18"/>
    <s v="Electricity Bill payment"/>
    <s v="Credit Card"/>
    <x v="891"/>
    <n v="3000"/>
    <s v="HDFC Savings"/>
    <x v="0"/>
    <n v="435.94000000000005"/>
    <n v="-3435.94"/>
    <s v="Yes"/>
  </r>
  <r>
    <s v="TXN-20342"/>
    <x v="407"/>
    <s v="May-2025"/>
    <x v="1"/>
    <x v="7"/>
    <x v="7"/>
    <s v="Monthly Salary received"/>
    <s v="UPI"/>
    <x v="892"/>
    <n v="0"/>
    <s v="SBI Salary A/c"/>
    <x v="0"/>
    <s v="0"/>
    <n v="54864.33"/>
    <s v="Yes"/>
  </r>
  <r>
    <s v="TXN-20072"/>
    <x v="408"/>
    <s v="May-2025"/>
    <x v="0"/>
    <x v="3"/>
    <x v="15"/>
    <s v="Clothing payment"/>
    <s v="Debit Card"/>
    <x v="893"/>
    <n v="4000"/>
    <s v="SBI Salary A/c"/>
    <x v="0"/>
    <n v="1009.7799999999997"/>
    <n v="-5009.78"/>
    <s v="Yes"/>
  </r>
  <r>
    <s v="TXN-20893"/>
    <x v="408"/>
    <s v="May-2025"/>
    <x v="0"/>
    <x v="10"/>
    <x v="24"/>
    <s v="Health Insurance payment"/>
    <s v="UPI"/>
    <x v="894"/>
    <n v="2000"/>
    <s v="HDFC Savings"/>
    <x v="1"/>
    <n v="-119.57999999999993"/>
    <n v="-1880.42"/>
    <s v="No"/>
  </r>
  <r>
    <s v="TXN-20589"/>
    <x v="409"/>
    <s v="May-2025"/>
    <x v="0"/>
    <x v="6"/>
    <x v="6"/>
    <s v="Cab/Taxi payment"/>
    <s v="Debit Card"/>
    <x v="895"/>
    <n v="3500"/>
    <s v="ICICI Credit Card"/>
    <x v="1"/>
    <n v="-605.19999999999982"/>
    <n v="-2894.8"/>
    <s v="No"/>
  </r>
  <r>
    <s v="TXN-20846"/>
    <x v="410"/>
    <s v="May-2025"/>
    <x v="0"/>
    <x v="6"/>
    <x v="11"/>
    <s v="Public Transport payment"/>
    <s v="UPI"/>
    <x v="896"/>
    <n v="3500"/>
    <s v="SBI Salary A/c"/>
    <x v="1"/>
    <n v="639.93000000000029"/>
    <n v="-4139.93"/>
    <s v="Yes"/>
  </r>
  <r>
    <s v="TXN-20082"/>
    <x v="411"/>
    <s v="May-2025"/>
    <x v="0"/>
    <x v="0"/>
    <x v="8"/>
    <s v="Home Loan EMI payment"/>
    <s v="Net Banking"/>
    <x v="897"/>
    <n v="12000"/>
    <s v="ICICI Credit Card"/>
    <x v="0"/>
    <n v="271.86000000000058"/>
    <n v="-12271.86"/>
    <s v="Yes"/>
  </r>
  <r>
    <s v="TXN-20075"/>
    <x v="411"/>
    <s v="May-2025"/>
    <x v="0"/>
    <x v="5"/>
    <x v="5"/>
    <s v="House Rent payment"/>
    <s v="Cash"/>
    <x v="898"/>
    <n v="15000"/>
    <s v="SBI Salary A/c"/>
    <x v="0"/>
    <n v="-256.15999999999985"/>
    <n v="-14743.84"/>
    <s v="No"/>
  </r>
  <r>
    <s v="TXN-20168"/>
    <x v="412"/>
    <s v="May-2025"/>
    <x v="0"/>
    <x v="3"/>
    <x v="15"/>
    <s v="Clothing payment"/>
    <s v="Net Banking"/>
    <x v="899"/>
    <n v="4000"/>
    <s v="HDFC Savings"/>
    <x v="1"/>
    <n v="-1478.1999999999998"/>
    <n v="-2521.8000000000002"/>
    <s v="No"/>
  </r>
  <r>
    <s v="TXN-20905"/>
    <x v="412"/>
    <s v="May-2025"/>
    <x v="0"/>
    <x v="4"/>
    <x v="4"/>
    <s v="Supermarket payment"/>
    <s v="UPI"/>
    <x v="900"/>
    <n v="6000"/>
    <s v="HDFC Savings"/>
    <x v="1"/>
    <n v="-1142.3500000000004"/>
    <n v="-4857.6499999999996"/>
    <s v="No"/>
  </r>
  <r>
    <s v="TXN-20171"/>
    <x v="413"/>
    <s v="May-2025"/>
    <x v="0"/>
    <x v="4"/>
    <x v="4"/>
    <s v="Supermarket payment"/>
    <s v="Debit Card"/>
    <x v="901"/>
    <n v="6000"/>
    <s v="HDFC Savings"/>
    <x v="1"/>
    <n v="-1388.1099999999997"/>
    <n v="-4611.8900000000003"/>
    <s v="No"/>
  </r>
  <r>
    <s v="TXN-20374"/>
    <x v="413"/>
    <s v="May-2025"/>
    <x v="1"/>
    <x v="9"/>
    <x v="25"/>
    <s v="Consulting Fee received"/>
    <s v="Net Banking"/>
    <x v="902"/>
    <n v="0"/>
    <s v="HDFC Savings"/>
    <x v="0"/>
    <s v="0"/>
    <n v="13571.92"/>
    <s v="Yes"/>
  </r>
  <r>
    <s v="TXN-20431"/>
    <x v="413"/>
    <s v="May-2025"/>
    <x v="0"/>
    <x v="0"/>
    <x v="8"/>
    <s v="Home Loan EMI payment"/>
    <s v="Debit Card"/>
    <x v="903"/>
    <n v="12000"/>
    <s v="HDFC Savings"/>
    <x v="0"/>
    <n v="-2514.9799999999996"/>
    <n v="-9485.02"/>
    <s v="No"/>
  </r>
  <r>
    <s v="TXN-20193"/>
    <x v="413"/>
    <s v="May-2025"/>
    <x v="0"/>
    <x v="5"/>
    <x v="5"/>
    <s v="House Rent payment"/>
    <s v="Debit Card"/>
    <x v="904"/>
    <n v="15000"/>
    <s v="Cash Wallet"/>
    <x v="0"/>
    <n v="-5560.0300000000007"/>
    <n v="-9439.9699999999993"/>
    <s v="No"/>
  </r>
  <r>
    <s v="TXN-20811"/>
    <x v="414"/>
    <s v="May-2025"/>
    <x v="1"/>
    <x v="9"/>
    <x v="25"/>
    <s v="Consulting Fee received"/>
    <s v="Net Banking"/>
    <x v="905"/>
    <n v="0"/>
    <s v="SBI Salary A/c"/>
    <x v="1"/>
    <s v="0"/>
    <n v="5041.8999999999996"/>
    <s v="Yes"/>
  </r>
  <r>
    <s v="TXN-20005"/>
    <x v="414"/>
    <s v="May-2025"/>
    <x v="1"/>
    <x v="7"/>
    <x v="7"/>
    <s v="Monthly Salary received"/>
    <s v="UPI"/>
    <x v="906"/>
    <n v="0"/>
    <s v="SBI Salary A/c"/>
    <x v="0"/>
    <s v="0"/>
    <n v="51256.15"/>
    <s v="Yes"/>
  </r>
  <r>
    <s v="TXN-20380"/>
    <x v="414"/>
    <s v="May-2025"/>
    <x v="0"/>
    <x v="11"/>
    <x v="28"/>
    <s v="Stocks payment"/>
    <s v="Debit Card"/>
    <x v="907"/>
    <n v="8000"/>
    <s v="ICICI Credit Card"/>
    <x v="0"/>
    <n v="1460.8500000000004"/>
    <n v="-9460.85"/>
    <s v="Yes"/>
  </r>
  <r>
    <s v="TXN-20401"/>
    <x v="414"/>
    <s v="May-2025"/>
    <x v="1"/>
    <x v="7"/>
    <x v="7"/>
    <s v="Monthly Salary received"/>
    <s v="Net Banking"/>
    <x v="908"/>
    <n v="0"/>
    <s v="ICICI Credit Card"/>
    <x v="0"/>
    <s v="0"/>
    <n v="45950.23"/>
    <s v="Yes"/>
  </r>
  <r>
    <s v="TXN-20535"/>
    <x v="414"/>
    <s v="May-2025"/>
    <x v="0"/>
    <x v="3"/>
    <x v="3"/>
    <s v="Electronics payment"/>
    <s v="UPI"/>
    <x v="909"/>
    <n v="4000"/>
    <s v="ICICI Credit Card"/>
    <x v="0"/>
    <n v="-193.15000000000009"/>
    <n v="-3806.85"/>
    <s v="No"/>
  </r>
  <r>
    <s v="TXN-20013"/>
    <x v="415"/>
    <s v="May-2025"/>
    <x v="0"/>
    <x v="4"/>
    <x v="16"/>
    <s v="Local Market payment"/>
    <s v="Credit Card"/>
    <x v="910"/>
    <n v="6000"/>
    <s v="ICICI Credit Card"/>
    <x v="1"/>
    <n v="-1761.8199999999997"/>
    <n v="-4238.18"/>
    <s v="No"/>
  </r>
  <r>
    <s v="TXN-20021"/>
    <x v="416"/>
    <s v="May-2025"/>
    <x v="0"/>
    <x v="6"/>
    <x v="11"/>
    <s v="Public Transport payment"/>
    <s v="UPI"/>
    <x v="911"/>
    <n v="3500"/>
    <s v="ICICI Credit Card"/>
    <x v="1"/>
    <n v="616.97000000000025"/>
    <n v="-4116.97"/>
    <s v="Yes"/>
  </r>
  <r>
    <s v="TXN-20804"/>
    <x v="416"/>
    <s v="May-2025"/>
    <x v="0"/>
    <x v="6"/>
    <x v="6"/>
    <s v="Cab/Taxi payment"/>
    <s v="Debit Card"/>
    <x v="912"/>
    <n v="3500"/>
    <s v="Cash Wallet"/>
    <x v="1"/>
    <n v="-575.42000000000007"/>
    <n v="-2924.58"/>
    <s v="No"/>
  </r>
  <r>
    <s v="TXN-20449"/>
    <x v="417"/>
    <s v="May-2025"/>
    <x v="0"/>
    <x v="4"/>
    <x v="4"/>
    <s v="Supermarket payment"/>
    <s v="UPI"/>
    <x v="913"/>
    <n v="6000"/>
    <s v="SBI Salary A/c"/>
    <x v="1"/>
    <n v="1298"/>
    <n v="-7298"/>
    <s v="Yes"/>
  </r>
  <r>
    <s v="TXN-20140"/>
    <x v="417"/>
    <s v="May-2025"/>
    <x v="0"/>
    <x v="4"/>
    <x v="4"/>
    <s v="Supermarket payment"/>
    <s v="Net Banking"/>
    <x v="914"/>
    <n v="6000"/>
    <s v="SBI Salary A/c"/>
    <x v="1"/>
    <n v="-1848.6000000000004"/>
    <n v="-4151.3999999999996"/>
    <s v="No"/>
  </r>
  <r>
    <s v="TXN-20574"/>
    <x v="417"/>
    <s v="May-2025"/>
    <x v="1"/>
    <x v="7"/>
    <x v="7"/>
    <s v="Monthly Salary received"/>
    <s v="Debit Card"/>
    <x v="915"/>
    <n v="0"/>
    <s v="HDFC Savings"/>
    <x v="0"/>
    <s v="0"/>
    <n v="41346.089999999997"/>
    <s v="Yes"/>
  </r>
  <r>
    <s v="TXN-20161"/>
    <x v="417"/>
    <s v="May-2025"/>
    <x v="0"/>
    <x v="11"/>
    <x v="21"/>
    <s v="Fixed Deposit payment"/>
    <s v="Debit Card"/>
    <x v="916"/>
    <n v="8000"/>
    <s v="Cash Wallet"/>
    <x v="0"/>
    <n v="-3259.3"/>
    <n v="-4740.7"/>
    <s v="No"/>
  </r>
  <r>
    <s v="TXN-20993"/>
    <x v="418"/>
    <s v="May-2025"/>
    <x v="1"/>
    <x v="9"/>
    <x v="25"/>
    <s v="Consulting Fee received"/>
    <s v="UPI"/>
    <x v="917"/>
    <n v="0"/>
    <s v="SBI Salary A/c"/>
    <x v="1"/>
    <s v="0"/>
    <n v="12592.86"/>
    <s v="Yes"/>
  </r>
  <r>
    <s v="TXN-20199"/>
    <x v="418"/>
    <s v="May-2025"/>
    <x v="0"/>
    <x v="0"/>
    <x v="0"/>
    <s v="Personal Loan EMI payment"/>
    <s v="UPI"/>
    <x v="918"/>
    <n v="12000"/>
    <s v="HDFC Savings"/>
    <x v="0"/>
    <n v="-5734.86"/>
    <n v="-6265.14"/>
    <s v="No"/>
  </r>
  <r>
    <s v="TXN-20166"/>
    <x v="418"/>
    <s v="May-2025"/>
    <x v="1"/>
    <x v="7"/>
    <x v="7"/>
    <s v="Monthly Salary received"/>
    <s v="UPI"/>
    <x v="919"/>
    <n v="0"/>
    <s v="SBI Salary A/c"/>
    <x v="0"/>
    <s v="0"/>
    <n v="45399.88"/>
    <s v="Yes"/>
  </r>
  <r>
    <s v="TXN-20370"/>
    <x v="418"/>
    <s v="May-2025"/>
    <x v="0"/>
    <x v="11"/>
    <x v="28"/>
    <s v="Stocks payment"/>
    <s v="Net Banking"/>
    <x v="920"/>
    <n v="8000"/>
    <s v="HDFC Savings"/>
    <x v="0"/>
    <n v="1156.2999999999993"/>
    <n v="-9156.2999999999993"/>
    <s v="Yes"/>
  </r>
  <r>
    <s v="TXN-20513"/>
    <x v="419"/>
    <s v="May-2025"/>
    <x v="1"/>
    <x v="9"/>
    <x v="14"/>
    <s v="Project Payment received"/>
    <s v="Credit Card"/>
    <x v="921"/>
    <n v="0"/>
    <s v="ICICI Credit Card"/>
    <x v="0"/>
    <s v="0"/>
    <n v="7481.11"/>
    <s v="Yes"/>
  </r>
  <r>
    <s v="TXN-20970"/>
    <x v="419"/>
    <s v="May-2025"/>
    <x v="0"/>
    <x v="2"/>
    <x v="18"/>
    <s v="Electricity Bill payment"/>
    <s v="Debit Card"/>
    <x v="922"/>
    <n v="3000"/>
    <s v="ICICI Credit Card"/>
    <x v="0"/>
    <n v="-1236.03"/>
    <n v="-1763.97"/>
    <s v="No"/>
  </r>
  <r>
    <s v="TXN-20553"/>
    <x v="420"/>
    <s v="May-2025"/>
    <x v="0"/>
    <x v="8"/>
    <x v="20"/>
    <s v="Course Fee payment"/>
    <s v="Credit Card"/>
    <x v="923"/>
    <n v="2000"/>
    <s v="SBI Salary A/c"/>
    <x v="1"/>
    <n v="-86.549999999999955"/>
    <n v="-1913.45"/>
    <s v="No"/>
  </r>
  <r>
    <s v="TXN-20170"/>
    <x v="421"/>
    <s v="May-2025"/>
    <x v="0"/>
    <x v="0"/>
    <x v="8"/>
    <s v="Home Loan EMI payment"/>
    <s v="UPI"/>
    <x v="924"/>
    <n v="12000"/>
    <s v="ICICI Credit Card"/>
    <x v="0"/>
    <n v="-3962.1499999999996"/>
    <n v="-8037.85"/>
    <s v="No"/>
  </r>
  <r>
    <s v="TXN-20055"/>
    <x v="421"/>
    <s v="May-2025"/>
    <x v="0"/>
    <x v="4"/>
    <x v="16"/>
    <s v="Local Market payment"/>
    <s v="Cash"/>
    <x v="925"/>
    <n v="6000"/>
    <s v="ICICI Credit Card"/>
    <x v="1"/>
    <n v="-1002.3199999999997"/>
    <n v="-4997.68"/>
    <s v="No"/>
  </r>
  <r>
    <s v="TXN-20393"/>
    <x v="421"/>
    <s v="May-2025"/>
    <x v="0"/>
    <x v="2"/>
    <x v="18"/>
    <s v="Electricity Bill payment"/>
    <s v="Credit Card"/>
    <x v="926"/>
    <n v="3000"/>
    <s v="SBI Salary A/c"/>
    <x v="0"/>
    <n v="4.4299999999998363"/>
    <n v="-3004.43"/>
    <s v="Yes"/>
  </r>
  <r>
    <s v="TXN-20077"/>
    <x v="421"/>
    <s v="May-2025"/>
    <x v="1"/>
    <x v="9"/>
    <x v="25"/>
    <s v="Consulting Fee received"/>
    <s v="Credit Card"/>
    <x v="927"/>
    <n v="0"/>
    <s v="HDFC Savings"/>
    <x v="1"/>
    <s v="0"/>
    <n v="10484.41"/>
    <s v="Yes"/>
  </r>
  <r>
    <s v="TXN-20375"/>
    <x v="422"/>
    <s v="May-2025"/>
    <x v="0"/>
    <x v="8"/>
    <x v="10"/>
    <s v="Books payment"/>
    <s v="Cash"/>
    <x v="928"/>
    <n v="2000"/>
    <s v="Cash Wallet"/>
    <x v="1"/>
    <n v="110.88999999999987"/>
    <n v="-2110.89"/>
    <s v="Yes"/>
  </r>
  <r>
    <s v="TXN-20599"/>
    <x v="422"/>
    <s v="May-2025"/>
    <x v="1"/>
    <x v="9"/>
    <x v="25"/>
    <s v="Consulting Fee received"/>
    <s v="Credit Card"/>
    <x v="929"/>
    <n v="0"/>
    <s v="HDFC Savings"/>
    <x v="1"/>
    <s v="0"/>
    <n v="12912.57"/>
    <s v="Yes"/>
  </r>
  <r>
    <s v="TXN-20774"/>
    <x v="423"/>
    <s v="May-2025"/>
    <x v="0"/>
    <x v="1"/>
    <x v="9"/>
    <s v="Streaming Subscription payment"/>
    <s v="Net Banking"/>
    <x v="930"/>
    <n v="2500"/>
    <s v="SBI Salary A/c"/>
    <x v="1"/>
    <n v="-593.83999999999992"/>
    <n v="-1906.16"/>
    <s v="No"/>
  </r>
  <r>
    <s v="TXN-20421"/>
    <x v="423"/>
    <s v="May-2025"/>
    <x v="0"/>
    <x v="3"/>
    <x v="15"/>
    <s v="Clothing payment"/>
    <s v="UPI"/>
    <x v="931"/>
    <n v="4000"/>
    <s v="Cash Wallet"/>
    <x v="0"/>
    <n v="-404.73999999999978"/>
    <n v="-3595.26"/>
    <s v="No"/>
  </r>
  <r>
    <s v="TXN-20183"/>
    <x v="424"/>
    <s v="May-2025"/>
    <x v="0"/>
    <x v="3"/>
    <x v="15"/>
    <s v="Clothing payment"/>
    <s v="UPI"/>
    <x v="932"/>
    <n v="4000"/>
    <s v="Cash Wallet"/>
    <x v="1"/>
    <n v="743.84000000000015"/>
    <n v="-4743.84"/>
    <s v="Yes"/>
  </r>
  <r>
    <s v="TXN-20624"/>
    <x v="425"/>
    <s v="May-2025"/>
    <x v="0"/>
    <x v="0"/>
    <x v="0"/>
    <s v="Personal Loan EMI payment"/>
    <s v="Debit Card"/>
    <x v="933"/>
    <n v="12000"/>
    <s v="SBI Salary A/c"/>
    <x v="0"/>
    <n v="-779.01000000000022"/>
    <n v="-11220.99"/>
    <s v="No"/>
  </r>
  <r>
    <s v="TXN-20843"/>
    <x v="425"/>
    <s v="May-2025"/>
    <x v="0"/>
    <x v="2"/>
    <x v="2"/>
    <s v="Internet Bill payment"/>
    <s v="UPI"/>
    <x v="934"/>
    <n v="3000"/>
    <s v="Cash Wallet"/>
    <x v="0"/>
    <n v="-258.57999999999993"/>
    <n v="-2741.42"/>
    <s v="No"/>
  </r>
  <r>
    <s v="TXN-20060"/>
    <x v="426"/>
    <s v="May-2025"/>
    <x v="0"/>
    <x v="4"/>
    <x v="16"/>
    <s v="Local Market payment"/>
    <s v="UPI"/>
    <x v="935"/>
    <n v="6000"/>
    <s v="HDFC Savings"/>
    <x v="1"/>
    <n v="-474.97999999999956"/>
    <n v="-5525.02"/>
    <s v="No"/>
  </r>
  <r>
    <s v="TXN-20944"/>
    <x v="426"/>
    <s v="May-2025"/>
    <x v="0"/>
    <x v="10"/>
    <x v="24"/>
    <s v="Health Insurance payment"/>
    <s v="UPI"/>
    <x v="936"/>
    <n v="2000"/>
    <s v="Cash Wallet"/>
    <x v="1"/>
    <n v="-699.18000000000006"/>
    <n v="-1300.82"/>
    <s v="No"/>
  </r>
  <r>
    <s v="TXN-20389"/>
    <x v="427"/>
    <s v="May-2025"/>
    <x v="0"/>
    <x v="6"/>
    <x v="6"/>
    <s v="Cab/Taxi payment"/>
    <s v="Cash"/>
    <x v="937"/>
    <n v="3500"/>
    <s v="ICICI Credit Card"/>
    <x v="1"/>
    <n v="-1507.17"/>
    <n v="-1992.83"/>
    <s v="No"/>
  </r>
  <r>
    <s v="TXN-20483"/>
    <x v="428"/>
    <s v="Jun-2025"/>
    <x v="0"/>
    <x v="0"/>
    <x v="13"/>
    <s v="Car Loan EMI payment"/>
    <s v="UPI"/>
    <x v="938"/>
    <n v="12000"/>
    <s v="Cash Wallet"/>
    <x v="0"/>
    <n v="-2397.1399999999994"/>
    <n v="-9602.86"/>
    <s v="No"/>
  </r>
  <r>
    <s v="TXN-20241"/>
    <x v="429"/>
    <s v="Jun-2025"/>
    <x v="0"/>
    <x v="5"/>
    <x v="5"/>
    <s v="House Rent payment"/>
    <s v="Credit Card"/>
    <x v="939"/>
    <n v="15000"/>
    <s v="SBI Salary A/c"/>
    <x v="0"/>
    <n v="-5435.68"/>
    <n v="-9564.32"/>
    <s v="No"/>
  </r>
  <r>
    <s v="TXN-20570"/>
    <x v="429"/>
    <s v="Jun-2025"/>
    <x v="0"/>
    <x v="0"/>
    <x v="0"/>
    <s v="Personal Loan EMI payment"/>
    <s v="Credit Card"/>
    <x v="940"/>
    <n v="12000"/>
    <s v="ICICI Credit Card"/>
    <x v="0"/>
    <n v="754.55999999999949"/>
    <n v="-12754.56"/>
    <s v="Yes"/>
  </r>
  <r>
    <s v="TXN-20230"/>
    <x v="429"/>
    <s v="Jun-2025"/>
    <x v="0"/>
    <x v="5"/>
    <x v="5"/>
    <s v="House Rent payment"/>
    <s v="Cash"/>
    <x v="941"/>
    <n v="15000"/>
    <s v="Cash Wallet"/>
    <x v="0"/>
    <n v="-6297.8799999999992"/>
    <n v="-8702.1200000000008"/>
    <s v="No"/>
  </r>
  <r>
    <s v="TXN-20781"/>
    <x v="429"/>
    <s v="Jun-2025"/>
    <x v="0"/>
    <x v="1"/>
    <x v="22"/>
    <s v="Outing payment"/>
    <s v="UPI"/>
    <x v="942"/>
    <n v="2500"/>
    <s v="SBI Salary A/c"/>
    <x v="0"/>
    <n v="-614.1099999999999"/>
    <n v="-1885.89"/>
    <s v="No"/>
  </r>
  <r>
    <s v="TXN-20186"/>
    <x v="429"/>
    <s v="Jun-2025"/>
    <x v="1"/>
    <x v="9"/>
    <x v="14"/>
    <s v="Project Payment received"/>
    <s v="UPI"/>
    <x v="943"/>
    <n v="0"/>
    <s v="ICICI Credit Card"/>
    <x v="1"/>
    <s v="0"/>
    <n v="14258.34"/>
    <s v="Yes"/>
  </r>
  <r>
    <s v="TXN-20023"/>
    <x v="430"/>
    <s v="Jun-2025"/>
    <x v="0"/>
    <x v="0"/>
    <x v="8"/>
    <s v="Home Loan EMI payment"/>
    <s v="Credit Card"/>
    <x v="944"/>
    <n v="12000"/>
    <s v="ICICI Credit Card"/>
    <x v="0"/>
    <n v="3593.25"/>
    <n v="-15593.25"/>
    <s v="Yes"/>
  </r>
  <r>
    <s v="TXN-20782"/>
    <x v="431"/>
    <s v="Jun-2025"/>
    <x v="0"/>
    <x v="10"/>
    <x v="24"/>
    <s v="Health Insurance payment"/>
    <s v="Net Banking"/>
    <x v="945"/>
    <n v="2000"/>
    <s v="HDFC Savings"/>
    <x v="1"/>
    <n v="-840.16000000000008"/>
    <n v="-1159.8399999999999"/>
    <s v="No"/>
  </r>
  <r>
    <s v="TXN-20917"/>
    <x v="432"/>
    <s v="Jun-2025"/>
    <x v="0"/>
    <x v="6"/>
    <x v="26"/>
    <s v="Fuel payment"/>
    <s v="Credit Card"/>
    <x v="946"/>
    <n v="3500"/>
    <s v="Cash Wallet"/>
    <x v="1"/>
    <n v="-1188.8699999999999"/>
    <n v="-2311.13"/>
    <s v="No"/>
  </r>
  <r>
    <s v="TXN-20141"/>
    <x v="432"/>
    <s v="Jun-2025"/>
    <x v="0"/>
    <x v="11"/>
    <x v="28"/>
    <s v="Stocks payment"/>
    <s v="Debit Card"/>
    <x v="947"/>
    <n v="8000"/>
    <s v="ICICI Credit Card"/>
    <x v="0"/>
    <n v="-2105.0299999999997"/>
    <n v="-5894.97"/>
    <s v="No"/>
  </r>
  <r>
    <s v="TXN-20885"/>
    <x v="432"/>
    <s v="Jun-2025"/>
    <x v="0"/>
    <x v="3"/>
    <x v="3"/>
    <s v="Electronics payment"/>
    <s v="Credit Card"/>
    <x v="948"/>
    <n v="4000"/>
    <s v="HDFC Savings"/>
    <x v="1"/>
    <n v="-939.19"/>
    <n v="-3060.81"/>
    <s v="No"/>
  </r>
  <r>
    <s v="TXN-20831"/>
    <x v="433"/>
    <s v="Jun-2025"/>
    <x v="0"/>
    <x v="3"/>
    <x v="15"/>
    <s v="Clothing payment"/>
    <s v="Credit Card"/>
    <x v="949"/>
    <n v="4000"/>
    <s v="SBI Salary A/c"/>
    <x v="1"/>
    <n v="187.06999999999971"/>
    <n v="-4187.07"/>
    <s v="Yes"/>
  </r>
  <r>
    <s v="TXN-20649"/>
    <x v="434"/>
    <s v="Jun-2025"/>
    <x v="0"/>
    <x v="4"/>
    <x v="4"/>
    <s v="Supermarket payment"/>
    <s v="UPI"/>
    <x v="950"/>
    <n v="6000"/>
    <s v="ICICI Credit Card"/>
    <x v="1"/>
    <n v="-2470.38"/>
    <n v="-3529.62"/>
    <s v="No"/>
  </r>
  <r>
    <s v="TXN-20329"/>
    <x v="434"/>
    <s v="Jun-2025"/>
    <x v="0"/>
    <x v="4"/>
    <x v="16"/>
    <s v="Local Market payment"/>
    <s v="Net Banking"/>
    <x v="951"/>
    <n v="6000"/>
    <s v="Cash Wallet"/>
    <x v="1"/>
    <n v="72.399999999999636"/>
    <n v="-6072.4"/>
    <s v="Yes"/>
  </r>
  <r>
    <s v="TXN-20081"/>
    <x v="434"/>
    <s v="Jun-2025"/>
    <x v="0"/>
    <x v="10"/>
    <x v="27"/>
    <s v="Doctor Visit payment"/>
    <s v="Credit Card"/>
    <x v="952"/>
    <n v="2000"/>
    <s v="HDFC Savings"/>
    <x v="0"/>
    <n v="-391.65000000000009"/>
    <n v="-1608.35"/>
    <s v="No"/>
  </r>
  <r>
    <s v="TXN-20121"/>
    <x v="434"/>
    <s v="Jun-2025"/>
    <x v="0"/>
    <x v="6"/>
    <x v="6"/>
    <s v="Cab/Taxi payment"/>
    <s v="UPI"/>
    <x v="953"/>
    <n v="3500"/>
    <s v="SBI Salary A/c"/>
    <x v="1"/>
    <n v="-1095.0500000000002"/>
    <n v="-2404.9499999999998"/>
    <s v="No"/>
  </r>
  <r>
    <s v="TXN-20262"/>
    <x v="434"/>
    <s v="Jun-2025"/>
    <x v="0"/>
    <x v="2"/>
    <x v="2"/>
    <s v="Internet Bill payment"/>
    <s v="UPI"/>
    <x v="954"/>
    <n v="3000"/>
    <s v="Cash Wallet"/>
    <x v="0"/>
    <n v="516.52"/>
    <n v="-3516.52"/>
    <s v="Yes"/>
  </r>
  <r>
    <s v="TXN-20727"/>
    <x v="435"/>
    <s v="Jun-2025"/>
    <x v="0"/>
    <x v="3"/>
    <x v="15"/>
    <s v="Clothing payment"/>
    <s v="UPI"/>
    <x v="955"/>
    <n v="4000"/>
    <s v="HDFC Savings"/>
    <x v="1"/>
    <n v="527.30000000000018"/>
    <n v="-4527.3"/>
    <s v="Yes"/>
  </r>
  <r>
    <s v="TXN-20447"/>
    <x v="435"/>
    <s v="Jun-2025"/>
    <x v="0"/>
    <x v="1"/>
    <x v="22"/>
    <s v="Outing payment"/>
    <s v="Credit Card"/>
    <x v="956"/>
    <n v="2500"/>
    <s v="ICICI Credit Card"/>
    <x v="1"/>
    <n v="-10.989999999999782"/>
    <n v="-2489.0100000000002"/>
    <s v="No"/>
  </r>
  <r>
    <s v="TXN-20795"/>
    <x v="436"/>
    <s v="Jun-2025"/>
    <x v="0"/>
    <x v="8"/>
    <x v="20"/>
    <s v="Course Fee payment"/>
    <s v="Credit Card"/>
    <x v="957"/>
    <n v="2000"/>
    <s v="ICICI Credit Card"/>
    <x v="1"/>
    <n v="146.13999999999987"/>
    <n v="-2146.14"/>
    <s v="Yes"/>
  </r>
  <r>
    <s v="TXN-20637"/>
    <x v="436"/>
    <s v="Jun-2025"/>
    <x v="0"/>
    <x v="0"/>
    <x v="8"/>
    <s v="Home Loan EMI payment"/>
    <s v="Net Banking"/>
    <x v="958"/>
    <n v="12000"/>
    <s v="Cash Wallet"/>
    <x v="0"/>
    <n v="-869.22999999999956"/>
    <n v="-11130.77"/>
    <s v="No"/>
  </r>
  <r>
    <s v="TXN-20409"/>
    <x v="436"/>
    <s v="Jun-2025"/>
    <x v="0"/>
    <x v="5"/>
    <x v="5"/>
    <s v="House Rent payment"/>
    <s v="UPI"/>
    <x v="959"/>
    <n v="15000"/>
    <s v="SBI Salary A/c"/>
    <x v="0"/>
    <n v="2899.7099999999991"/>
    <n v="-17899.71"/>
    <s v="Yes"/>
  </r>
  <r>
    <s v="TXN-20365"/>
    <x v="436"/>
    <s v="Jun-2025"/>
    <x v="0"/>
    <x v="3"/>
    <x v="23"/>
    <s v="Online Shopping payment"/>
    <s v="Debit Card"/>
    <x v="960"/>
    <n v="4000"/>
    <s v="ICICI Credit Card"/>
    <x v="1"/>
    <n v="-1121.5700000000002"/>
    <n v="-2878.43"/>
    <s v="No"/>
  </r>
  <r>
    <s v="TXN-20771"/>
    <x v="437"/>
    <s v="Jun-2025"/>
    <x v="0"/>
    <x v="4"/>
    <x v="4"/>
    <s v="Supermarket payment"/>
    <s v="Credit Card"/>
    <x v="961"/>
    <n v="6000"/>
    <s v="Cash Wallet"/>
    <x v="1"/>
    <n v="597.06999999999971"/>
    <n v="-6597.07"/>
    <s v="Yes"/>
  </r>
  <r>
    <s v="TXN-20484"/>
    <x v="438"/>
    <s v="Jun-2025"/>
    <x v="0"/>
    <x v="4"/>
    <x v="4"/>
    <s v="Supermarket payment"/>
    <s v="Cash"/>
    <x v="962"/>
    <n v="6000"/>
    <s v="SBI Salary A/c"/>
    <x v="1"/>
    <n v="-650.30000000000018"/>
    <n v="-5349.7"/>
    <s v="No"/>
  </r>
  <r>
    <s v="TXN-20291"/>
    <x v="438"/>
    <s v="Jun-2025"/>
    <x v="1"/>
    <x v="7"/>
    <x v="7"/>
    <s v="Monthly Salary received"/>
    <s v="Credit Card"/>
    <x v="963"/>
    <n v="0"/>
    <s v="Cash Wallet"/>
    <x v="0"/>
    <s v="0"/>
    <n v="44917.74"/>
    <s v="Yes"/>
  </r>
  <r>
    <s v="TXN-20710"/>
    <x v="438"/>
    <s v="Jun-2025"/>
    <x v="0"/>
    <x v="11"/>
    <x v="19"/>
    <s v="Mutual Fund SIP payment"/>
    <s v="UPI"/>
    <x v="964"/>
    <n v="8000"/>
    <s v="ICICI Credit Card"/>
    <x v="0"/>
    <n v="-2549.5"/>
    <n v="-5450.5"/>
    <s v="No"/>
  </r>
  <r>
    <s v="TXN-20921"/>
    <x v="439"/>
    <s v="Jun-2025"/>
    <x v="1"/>
    <x v="7"/>
    <x v="7"/>
    <s v="Monthly Salary received"/>
    <s v="Credit Card"/>
    <x v="965"/>
    <n v="0"/>
    <s v="SBI Salary A/c"/>
    <x v="0"/>
    <s v="0"/>
    <n v="51362.25"/>
    <s v="Yes"/>
  </r>
  <r>
    <s v="TXN-20059"/>
    <x v="439"/>
    <s v="Jun-2025"/>
    <x v="0"/>
    <x v="11"/>
    <x v="21"/>
    <s v="Fixed Deposit payment"/>
    <s v="UPI"/>
    <x v="966"/>
    <n v="8000"/>
    <s v="ICICI Credit Card"/>
    <x v="0"/>
    <n v="558.88999999999942"/>
    <n v="-8558.89"/>
    <s v="Yes"/>
  </r>
  <r>
    <s v="TXN-20959"/>
    <x v="439"/>
    <s v="Jun-2025"/>
    <x v="0"/>
    <x v="4"/>
    <x v="16"/>
    <s v="Local Market payment"/>
    <s v="UPI"/>
    <x v="967"/>
    <n v="6000"/>
    <s v="HDFC Savings"/>
    <x v="1"/>
    <n v="-1859.5500000000002"/>
    <n v="-4140.45"/>
    <s v="No"/>
  </r>
  <r>
    <s v="TXN-20407"/>
    <x v="440"/>
    <s v="Jun-2025"/>
    <x v="1"/>
    <x v="7"/>
    <x v="7"/>
    <s v="Monthly Salary received"/>
    <s v="UPI"/>
    <x v="968"/>
    <n v="0"/>
    <s v="HDFC Savings"/>
    <x v="0"/>
    <s v="0"/>
    <n v="45085.08"/>
    <s v="Yes"/>
  </r>
  <r>
    <s v="TXN-20918"/>
    <x v="440"/>
    <s v="Jun-2025"/>
    <x v="0"/>
    <x v="0"/>
    <x v="0"/>
    <s v="Personal Loan EMI payment"/>
    <s v="UPI"/>
    <x v="969"/>
    <n v="12000"/>
    <s v="HDFC Savings"/>
    <x v="0"/>
    <n v="-4071.01"/>
    <n v="-7928.99"/>
    <s v="No"/>
  </r>
  <r>
    <s v="TXN-20563"/>
    <x v="440"/>
    <s v="Jun-2025"/>
    <x v="0"/>
    <x v="6"/>
    <x v="26"/>
    <s v="Fuel payment"/>
    <s v="UPI"/>
    <x v="970"/>
    <n v="3500"/>
    <s v="HDFC Savings"/>
    <x v="1"/>
    <n v="-893.23"/>
    <n v="-2606.77"/>
    <s v="No"/>
  </r>
  <r>
    <s v="TXN-20767"/>
    <x v="441"/>
    <s v="Jun-2025"/>
    <x v="0"/>
    <x v="5"/>
    <x v="5"/>
    <s v="House Rent payment"/>
    <s v="Debit Card"/>
    <x v="971"/>
    <n v="15000"/>
    <s v="SBI Salary A/c"/>
    <x v="0"/>
    <n v="-6906.09"/>
    <n v="-8093.91"/>
    <s v="No"/>
  </r>
  <r>
    <s v="TXN-20187"/>
    <x v="442"/>
    <s v="Jun-2025"/>
    <x v="0"/>
    <x v="11"/>
    <x v="21"/>
    <s v="Fixed Deposit payment"/>
    <s v="Debit Card"/>
    <x v="972"/>
    <n v="8000"/>
    <s v="Cash Wallet"/>
    <x v="0"/>
    <n v="-20.220000000000255"/>
    <n v="-7979.78"/>
    <s v="No"/>
  </r>
  <r>
    <s v="TXN-20137"/>
    <x v="443"/>
    <s v="Jun-2025"/>
    <x v="0"/>
    <x v="1"/>
    <x v="1"/>
    <s v="Movies payment"/>
    <s v="UPI"/>
    <x v="973"/>
    <n v="2500"/>
    <s v="ICICI Credit Card"/>
    <x v="1"/>
    <n v="-905.05"/>
    <n v="-1594.95"/>
    <s v="No"/>
  </r>
  <r>
    <s v="TXN-20572"/>
    <x v="443"/>
    <s v="Jun-2025"/>
    <x v="0"/>
    <x v="5"/>
    <x v="5"/>
    <s v="House Rent payment"/>
    <s v="Cash"/>
    <x v="974"/>
    <n v="15000"/>
    <s v="ICICI Credit Card"/>
    <x v="0"/>
    <n v="-3933.1399999999994"/>
    <n v="-11066.86"/>
    <s v="No"/>
  </r>
  <r>
    <s v="TXN-20323"/>
    <x v="444"/>
    <s v="Jun-2025"/>
    <x v="1"/>
    <x v="7"/>
    <x v="7"/>
    <s v="Monthly Salary received"/>
    <s v="Credit Card"/>
    <x v="975"/>
    <n v="0"/>
    <s v="Cash Wallet"/>
    <x v="0"/>
    <s v="0"/>
    <n v="40870.050000000003"/>
    <s v="Yes"/>
  </r>
  <r>
    <s v="TXN-20986"/>
    <x v="444"/>
    <s v="Jun-2025"/>
    <x v="0"/>
    <x v="2"/>
    <x v="30"/>
    <s v="Water Bill payment"/>
    <s v="Cash"/>
    <x v="976"/>
    <n v="3000"/>
    <s v="Cash Wallet"/>
    <x v="0"/>
    <n v="658.82999999999993"/>
    <n v="-3658.83"/>
    <s v="Yes"/>
  </r>
  <r>
    <s v="TXN-20780"/>
    <x v="444"/>
    <s v="Jun-2025"/>
    <x v="0"/>
    <x v="5"/>
    <x v="5"/>
    <s v="House Rent payment"/>
    <s v="UPI"/>
    <x v="977"/>
    <n v="15000"/>
    <s v="SBI Salary A/c"/>
    <x v="0"/>
    <n v="-6318.8099999999995"/>
    <n v="-8681.19"/>
    <s v="No"/>
  </r>
  <r>
    <s v="TXN-20002"/>
    <x v="444"/>
    <s v="Jun-2025"/>
    <x v="0"/>
    <x v="5"/>
    <x v="5"/>
    <s v="House Rent payment"/>
    <s v="Credit Card"/>
    <x v="978"/>
    <n v="15000"/>
    <s v="HDFC Savings"/>
    <x v="0"/>
    <n v="-4278.7299999999996"/>
    <n v="-10721.27"/>
    <s v="No"/>
  </r>
  <r>
    <s v="TXN-20314"/>
    <x v="445"/>
    <s v="Jun-2025"/>
    <x v="0"/>
    <x v="0"/>
    <x v="13"/>
    <s v="Car Loan EMI payment"/>
    <s v="Cash"/>
    <x v="979"/>
    <n v="12000"/>
    <s v="SBI Salary A/c"/>
    <x v="0"/>
    <n v="1978.2099999999991"/>
    <n v="-13978.21"/>
    <s v="Yes"/>
  </r>
  <r>
    <s v="TXN-20027"/>
    <x v="445"/>
    <s v="Jun-2025"/>
    <x v="0"/>
    <x v="5"/>
    <x v="5"/>
    <s v="House Rent payment"/>
    <s v="UPI"/>
    <x v="980"/>
    <n v="15000"/>
    <s v="HDFC Savings"/>
    <x v="0"/>
    <n v="570.72999999999956"/>
    <n v="-15570.73"/>
    <s v="Yes"/>
  </r>
  <r>
    <s v="TXN-20150"/>
    <x v="445"/>
    <s v="Jun-2025"/>
    <x v="0"/>
    <x v="3"/>
    <x v="3"/>
    <s v="Electronics payment"/>
    <s v="UPI"/>
    <x v="981"/>
    <n v="4000"/>
    <s v="Cash Wallet"/>
    <x v="0"/>
    <n v="273.1899999999996"/>
    <n v="-4273.1899999999996"/>
    <s v="Yes"/>
  </r>
  <r>
    <s v="TXN-20327"/>
    <x v="446"/>
    <s v="Jun-2025"/>
    <x v="0"/>
    <x v="2"/>
    <x v="18"/>
    <s v="Electricity Bill payment"/>
    <s v="UPI"/>
    <x v="982"/>
    <n v="3000"/>
    <s v="SBI Salary A/c"/>
    <x v="0"/>
    <n v="-639.84999999999991"/>
    <n v="-2360.15"/>
    <s v="No"/>
  </r>
  <r>
    <s v="TXN-20523"/>
    <x v="446"/>
    <s v="Jun-2025"/>
    <x v="0"/>
    <x v="11"/>
    <x v="21"/>
    <s v="Fixed Deposit payment"/>
    <s v="Net Banking"/>
    <x v="983"/>
    <n v="8000"/>
    <s v="ICICI Credit Card"/>
    <x v="0"/>
    <n v="-1640.42"/>
    <n v="-6359.58"/>
    <s v="No"/>
  </r>
  <r>
    <s v="TXN-20810"/>
    <x v="447"/>
    <s v="Jun-2025"/>
    <x v="1"/>
    <x v="9"/>
    <x v="14"/>
    <s v="Project Payment received"/>
    <s v="UPI"/>
    <x v="984"/>
    <n v="0"/>
    <s v="HDFC Savings"/>
    <x v="1"/>
    <s v="0"/>
    <n v="6982.72"/>
    <s v="Yes"/>
  </r>
  <r>
    <s v="TXN-20101"/>
    <x v="447"/>
    <s v="Jun-2025"/>
    <x v="1"/>
    <x v="7"/>
    <x v="7"/>
    <s v="Monthly Salary received"/>
    <s v="Net Banking"/>
    <x v="985"/>
    <n v="0"/>
    <s v="SBI Salary A/c"/>
    <x v="0"/>
    <s v="0"/>
    <n v="41933.68"/>
    <s v="Yes"/>
  </r>
  <r>
    <s v="TXN-20022"/>
    <x v="448"/>
    <s v="Jun-2025"/>
    <x v="0"/>
    <x v="4"/>
    <x v="4"/>
    <s v="Supermarket payment"/>
    <s v="Credit Card"/>
    <x v="986"/>
    <n v="6000"/>
    <s v="ICICI Credit Card"/>
    <x v="0"/>
    <n v="-778.14000000000033"/>
    <n v="-5221.8599999999997"/>
    <s v="No"/>
  </r>
  <r>
    <s v="TXN-20482"/>
    <x v="448"/>
    <s v="Jun-2025"/>
    <x v="0"/>
    <x v="2"/>
    <x v="2"/>
    <s v="Internet Bill payment"/>
    <s v="Net Banking"/>
    <x v="987"/>
    <n v="3000"/>
    <s v="ICICI Credit Card"/>
    <x v="0"/>
    <n v="-1495.45"/>
    <n v="-1504.55"/>
    <s v="No"/>
  </r>
  <r>
    <s v="TXN-20900"/>
    <x v="448"/>
    <s v="Jun-2025"/>
    <x v="0"/>
    <x v="4"/>
    <x v="4"/>
    <s v="Supermarket payment"/>
    <s v="Net Banking"/>
    <x v="988"/>
    <n v="6000"/>
    <s v="Cash Wallet"/>
    <x v="0"/>
    <n v="-1118.5500000000002"/>
    <n v="-4881.45"/>
    <s v="No"/>
  </r>
  <r>
    <s v="TXN-20083"/>
    <x v="448"/>
    <s v="Jun-2025"/>
    <x v="1"/>
    <x v="12"/>
    <x v="31"/>
    <s v="Dividend received"/>
    <s v="Debit Card"/>
    <x v="989"/>
    <n v="0"/>
    <s v="SBI Salary A/c"/>
    <x v="0"/>
    <s v="0"/>
    <n v="4684.43"/>
    <s v="Yes"/>
  </r>
  <r>
    <s v="TXN-20503"/>
    <x v="449"/>
    <s v="Jun-2025"/>
    <x v="1"/>
    <x v="7"/>
    <x v="7"/>
    <s v="Monthly Salary received"/>
    <s v="Debit Card"/>
    <x v="990"/>
    <n v="0"/>
    <s v="HDFC Savings"/>
    <x v="0"/>
    <s v="0"/>
    <n v="50744.23"/>
    <s v="Yes"/>
  </r>
  <r>
    <s v="TXN-20459"/>
    <x v="450"/>
    <s v="Jun-2025"/>
    <x v="0"/>
    <x v="6"/>
    <x v="11"/>
    <s v="Public Transport payment"/>
    <s v="UPI"/>
    <x v="991"/>
    <n v="3500"/>
    <s v="HDFC Savings"/>
    <x v="0"/>
    <n v="577.71"/>
    <n v="-4077.71"/>
    <s v="Yes"/>
  </r>
  <r>
    <s v="TXN-20185"/>
    <x v="451"/>
    <s v="Jun-2025"/>
    <x v="0"/>
    <x v="0"/>
    <x v="8"/>
    <s v="Home Loan EMI payment"/>
    <s v="UPI"/>
    <x v="992"/>
    <n v="12000"/>
    <s v="HDFC Savings"/>
    <x v="0"/>
    <n v="-3894.2299999999996"/>
    <n v="-8105.77"/>
    <s v="No"/>
  </r>
  <r>
    <s v="TXN-20415"/>
    <x v="451"/>
    <s v="Jun-2025"/>
    <x v="0"/>
    <x v="2"/>
    <x v="12"/>
    <s v="Mobile Recharge payment"/>
    <s v="UPI"/>
    <x v="993"/>
    <n v="3000"/>
    <s v="SBI Salary A/c"/>
    <x v="0"/>
    <n v="-1087.93"/>
    <n v="-1912.07"/>
    <s v="No"/>
  </r>
  <r>
    <s v="TXN-20534"/>
    <x v="452"/>
    <s v="Jun-2025"/>
    <x v="0"/>
    <x v="4"/>
    <x v="16"/>
    <s v="Local Market payment"/>
    <s v="Net Banking"/>
    <x v="994"/>
    <n v="6000"/>
    <s v="ICICI Credit Card"/>
    <x v="1"/>
    <n v="-14.050000000000182"/>
    <n v="-5985.95"/>
    <s v="No"/>
  </r>
  <r>
    <s v="TXN-20088"/>
    <x v="452"/>
    <s v="Jun-2025"/>
    <x v="0"/>
    <x v="11"/>
    <x v="21"/>
    <s v="Fixed Deposit payment"/>
    <s v="UPI"/>
    <x v="995"/>
    <n v="8000"/>
    <s v="ICICI Credit Card"/>
    <x v="0"/>
    <n v="1502.4599999999991"/>
    <n v="-9502.4599999999991"/>
    <s v="Yes"/>
  </r>
  <r>
    <s v="TXN-20731"/>
    <x v="452"/>
    <s v="Jun-2025"/>
    <x v="0"/>
    <x v="8"/>
    <x v="20"/>
    <s v="Course Fee payment"/>
    <s v="Net Banking"/>
    <x v="996"/>
    <n v="2000"/>
    <s v="SBI Salary A/c"/>
    <x v="1"/>
    <n v="-867.98"/>
    <n v="-1132.02"/>
    <s v="No"/>
  </r>
  <r>
    <s v="TXN-20111"/>
    <x v="452"/>
    <s v="Jun-2025"/>
    <x v="0"/>
    <x v="4"/>
    <x v="16"/>
    <s v="Local Market payment"/>
    <s v="UPI"/>
    <x v="997"/>
    <n v="6000"/>
    <s v="Cash Wallet"/>
    <x v="1"/>
    <n v="1521.87"/>
    <n v="-7521.87"/>
    <s v="Yes"/>
  </r>
  <r>
    <s v="TXN-20949"/>
    <x v="452"/>
    <s v="Jun-2025"/>
    <x v="1"/>
    <x v="7"/>
    <x v="7"/>
    <s v="Monthly Salary received"/>
    <s v="UPI"/>
    <x v="998"/>
    <n v="0"/>
    <s v="Cash Wallet"/>
    <x v="0"/>
    <s v="0"/>
    <n v="52017.78"/>
    <s v="Yes"/>
  </r>
  <r>
    <s v="TXN-20837"/>
    <x v="452"/>
    <s v="Jun-2025"/>
    <x v="0"/>
    <x v="5"/>
    <x v="5"/>
    <s v="House Rent payment"/>
    <s v="UPI"/>
    <x v="999"/>
    <n v="15000"/>
    <s v="HDFC Savings"/>
    <x v="0"/>
    <n v="77.1299999999992"/>
    <n v="-15077.13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6AD78-CEB6-46CE-B471-E42EED854C3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4" firstHeaderRow="0" firstDataRow="1" firstDataCol="1"/>
  <pivotFields count="17">
    <pivotField showAll="0"/>
    <pivotField numFmtId="164" showAll="0">
      <items count="4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14">
        <item x="8"/>
        <item x="1"/>
        <item h="1" x="9"/>
        <item x="4"/>
        <item x="10"/>
        <item h="1" x="12"/>
        <item x="0"/>
        <item x="5"/>
        <item h="1" x="7"/>
        <item x="11"/>
        <item x="3"/>
        <item x="6"/>
        <item x="2"/>
        <item t="default"/>
      </items>
    </pivotField>
    <pivotField showAll="0"/>
    <pivotField showAll="0"/>
    <pivotField showAll="0"/>
    <pivotField dataField="1" numFmtId="166" showAll="0"/>
    <pivotField dataField="1" numFmtId="165" showAll="0"/>
    <pivotField showAll="0"/>
    <pivotField showAll="0">
      <items count="3">
        <item x="1"/>
        <item x="0"/>
        <item t="default"/>
      </items>
    </pivotField>
    <pivotField showAll="0"/>
    <pivotField numFmtId="166"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11">
    <i>
      <x/>
    </i>
    <i>
      <x v="1"/>
    </i>
    <i>
      <x v="3"/>
    </i>
    <i>
      <x v="4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 Spend" fld="8" baseField="0" baseItem="0" numFmtId="166"/>
    <dataField name="Sum of Budgeted Amount" fld="9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4624E-8845-46CE-9F05-A5710CC9A87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22" firstHeaderRow="1" firstDataRow="1" firstDataCol="1"/>
  <pivotFields count="17">
    <pivotField showAll="0"/>
    <pivotField numFmtId="164" showAll="0">
      <items count="4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14">
        <item x="8"/>
        <item x="1"/>
        <item h="1" x="9"/>
        <item x="4"/>
        <item x="10"/>
        <item h="1" x="12"/>
        <item x="0"/>
        <item x="5"/>
        <item h="1" x="7"/>
        <item x="11"/>
        <item x="3"/>
        <item x="6"/>
        <item x="2"/>
        <item t="default"/>
      </items>
    </pivotField>
    <pivotField showAll="0"/>
    <pivotField showAll="0"/>
    <pivotField showAll="0"/>
    <pivotField dataField="1" numFmtId="166" showAll="0"/>
    <pivotField numFmtId="165"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numFmtId="166"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1"/>
    <field x="4"/>
  </rowFields>
  <rowItems count="19">
    <i>
      <x/>
    </i>
    <i r="1">
      <x/>
    </i>
    <i r="1">
      <x v="1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3"/>
    </i>
    <i r="1">
      <x v="4"/>
    </i>
    <i r="1">
      <x v="10"/>
    </i>
    <i r="1">
      <x v="11"/>
    </i>
    <i t="grand">
      <x/>
    </i>
  </rowItems>
  <colItems count="1">
    <i/>
  </colItems>
  <dataFields count="1">
    <dataField name="Sum of Amount" fld="8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817C9-33EB-4C7C-B337-82AD16D7A79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25" firstHeaderRow="1" firstDataRow="2" firstDataCol="1"/>
  <pivotFields count="17">
    <pivotField showAll="0"/>
    <pivotField numFmtId="164" showAll="0">
      <items count="4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>
      <items count="14">
        <item h="1" x="8"/>
        <item h="1" x="1"/>
        <item h="1" x="9"/>
        <item h="1" x="4"/>
        <item x="10"/>
        <item h="1" x="12"/>
        <item h="1" x="0"/>
        <item h="1" x="5"/>
        <item h="1" x="7"/>
        <item h="1" x="11"/>
        <item h="1" x="3"/>
        <item h="1" x="6"/>
        <item h="1" x="2"/>
        <item t="default"/>
      </items>
    </pivotField>
    <pivotField showAll="0"/>
    <pivotField showAll="0"/>
    <pivotField showAll="0"/>
    <pivotField dataField="1" numFmtId="166" showAll="0"/>
    <pivotField numFmtId="165" showAll="0"/>
    <pivotField showAll="0"/>
    <pivotField showAll="0">
      <items count="3">
        <item x="1"/>
        <item h="1" x="0"/>
        <item t="default"/>
      </items>
    </pivotField>
    <pivotField showAll="0"/>
    <pivotField numFmtId="166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6"/>
    <field x="15"/>
  </rowFields>
  <rowItems count="21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Amount" fld="8" baseField="0" baseItem="0" numFmtId="166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1E18E-5C64-4256-9D5B-B5DE5C3C89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7">
    <pivotField showAll="0"/>
    <pivotField numFmtId="164" showAll="0">
      <items count="4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14">
        <item sd="0" x="8"/>
        <item sd="0" x="1"/>
        <item h="1" sd="0" x="9"/>
        <item sd="0" x="4"/>
        <item sd="0" x="10"/>
        <item h="1" sd="0" x="12"/>
        <item sd="0" x="0"/>
        <item sd="0" x="5"/>
        <item h="1" sd="0" x="7"/>
        <item sd="0" x="11"/>
        <item sd="0" x="3"/>
        <item sd="0" x="6"/>
        <item sd="0" x="2"/>
        <item t="default" sd="0"/>
      </items>
    </pivotField>
    <pivotField axis="axisRow" showAll="0">
      <items count="33">
        <item x="10"/>
        <item x="6"/>
        <item x="13"/>
        <item x="15"/>
        <item x="25"/>
        <item x="20"/>
        <item x="31"/>
        <item x="27"/>
        <item x="18"/>
        <item x="3"/>
        <item x="21"/>
        <item x="26"/>
        <item x="24"/>
        <item x="8"/>
        <item x="5"/>
        <item x="29"/>
        <item x="2"/>
        <item x="16"/>
        <item x="12"/>
        <item x="7"/>
        <item x="1"/>
        <item x="19"/>
        <item x="23"/>
        <item x="22"/>
        <item x="0"/>
        <item x="17"/>
        <item x="14"/>
        <item x="11"/>
        <item x="28"/>
        <item x="9"/>
        <item x="4"/>
        <item x="30"/>
        <item t="default"/>
      </items>
    </pivotField>
    <pivotField showAll="0"/>
    <pivotField showAll="0"/>
    <pivotField dataField="1" numFmtId="166" showAll="0"/>
    <pivotField numFmtId="165" showAll="0"/>
    <pivotField showAll="0"/>
    <pivotField showAll="0">
      <items count="3">
        <item x="1"/>
        <item x="0"/>
        <item t="default"/>
      </items>
    </pivotField>
    <pivotField showAll="0"/>
    <pivotField numFmtId="166"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4"/>
    <field x="5"/>
  </rowFields>
  <rowItems count="11">
    <i>
      <x/>
    </i>
    <i>
      <x v="1"/>
    </i>
    <i>
      <x v="3"/>
    </i>
    <i>
      <x v="4"/>
    </i>
    <i>
      <x v="6"/>
    </i>
    <i>
      <x v="7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" fld="8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B575-85CC-4B8F-904E-63D5B71E8599}">
  <sheetPr>
    <tabColor theme="7" tint="0.39997558519241921"/>
  </sheetPr>
  <dimension ref="B1:X39"/>
  <sheetViews>
    <sheetView showGridLines="0" showRowColHeaders="0" zoomScale="74" workbookViewId="0">
      <selection activeCell="AC28" sqref="AC28"/>
    </sheetView>
  </sheetViews>
  <sheetFormatPr defaultRowHeight="14.4" x14ac:dyDescent="0.3"/>
  <cols>
    <col min="2" max="2" width="8" customWidth="1"/>
    <col min="5" max="5" width="6.44140625" hidden="1" customWidth="1"/>
    <col min="9" max="9" width="5.21875" hidden="1" customWidth="1"/>
    <col min="13" max="13" width="1.6640625" hidden="1" customWidth="1"/>
    <col min="17" max="17" width="6.6640625" hidden="1" customWidth="1"/>
    <col min="21" max="21" width="6.5546875" hidden="1" customWidth="1"/>
  </cols>
  <sheetData>
    <row r="1" spans="2:24" ht="23.4" x14ac:dyDescent="0.45">
      <c r="B1" s="28" t="s">
        <v>1153</v>
      </c>
    </row>
    <row r="2" spans="2:24" ht="18" customHeight="1" x14ac:dyDescent="0.3">
      <c r="B2" s="29" t="str">
        <f>"Total Income"&amp;CHAR(10)&amp;TEXT(KPIs!B2,"$#,##0")</f>
        <v>Total Income
$58,71,181</v>
      </c>
      <c r="C2" s="29"/>
      <c r="D2" s="29"/>
      <c r="F2" s="30" t="str">
        <f>"Total Expense"&amp;CHAR(10)&amp;TEXT(KPIs!B3,"$#,##0")</f>
        <v>Total Expense
$50,12,022</v>
      </c>
      <c r="G2" s="30"/>
      <c r="H2" s="30"/>
      <c r="J2" s="31" t="str">
        <f>"Net Savings"&amp;CHAR(10)&amp;TEXT(KPIs!B4,"$#,##0")</f>
        <v>Net Savings
$8,59,159</v>
      </c>
      <c r="K2" s="31"/>
      <c r="L2" s="31"/>
      <c r="N2" s="32" t="str">
        <f>"Savings Rate %"&amp;CHAR(10)&amp;TEXT(KPIs!B5,"0.0%")</f>
        <v>Savings Rate %
14.6%</v>
      </c>
      <c r="O2" s="32"/>
      <c r="P2" s="32"/>
      <c r="R2" s="33" t="str">
        <f>"Over-Budget Txns"&amp;CHAR(10)&amp;TEXT(KPIs!B6,"0")</f>
        <v>Over-Budget Txns
491</v>
      </c>
      <c r="S2" s="33"/>
      <c r="T2" s="33"/>
      <c r="V2" s="34" t="str">
        <f>"Top Category"&amp;CHAR(10)&amp;KPIs!B7</f>
        <v>Top Category
Rent</v>
      </c>
      <c r="W2" s="34"/>
      <c r="X2" s="34"/>
    </row>
    <row r="3" spans="2:24" ht="18" customHeight="1" x14ac:dyDescent="0.3">
      <c r="B3" s="29"/>
      <c r="C3" s="29"/>
      <c r="D3" s="29"/>
      <c r="F3" s="30"/>
      <c r="G3" s="30"/>
      <c r="H3" s="30"/>
      <c r="J3" s="31"/>
      <c r="K3" s="31"/>
      <c r="L3" s="31"/>
      <c r="N3" s="32"/>
      <c r="O3" s="32"/>
      <c r="P3" s="32"/>
      <c r="R3" s="33"/>
      <c r="S3" s="33"/>
      <c r="T3" s="33"/>
      <c r="V3" s="34"/>
      <c r="W3" s="34"/>
      <c r="X3" s="34"/>
    </row>
    <row r="4" spans="2:24" ht="18" customHeight="1" x14ac:dyDescent="0.3">
      <c r="B4" s="29"/>
      <c r="C4" s="29"/>
      <c r="D4" s="29"/>
      <c r="F4" s="30"/>
      <c r="G4" s="30"/>
      <c r="H4" s="30"/>
      <c r="J4" s="31"/>
      <c r="K4" s="31"/>
      <c r="L4" s="31"/>
      <c r="N4" s="32"/>
      <c r="O4" s="32"/>
      <c r="P4" s="32"/>
      <c r="R4" s="33"/>
      <c r="S4" s="33"/>
      <c r="T4" s="33"/>
      <c r="V4" s="34"/>
      <c r="W4" s="34"/>
      <c r="X4" s="34"/>
    </row>
    <row r="5" spans="2:24" ht="18" customHeight="1" x14ac:dyDescent="0.3">
      <c r="B5" s="29"/>
      <c r="C5" s="29"/>
      <c r="D5" s="29"/>
      <c r="F5" s="30"/>
      <c r="G5" s="30"/>
      <c r="H5" s="30"/>
      <c r="J5" s="31"/>
      <c r="K5" s="31"/>
      <c r="L5" s="31"/>
      <c r="N5" s="32"/>
      <c r="O5" s="32"/>
      <c r="P5" s="32"/>
      <c r="R5" s="33"/>
      <c r="S5" s="33"/>
      <c r="T5" s="33"/>
      <c r="V5" s="34"/>
      <c r="W5" s="34"/>
      <c r="X5" s="34"/>
    </row>
    <row r="6" spans="2:24" ht="2.4" customHeight="1" x14ac:dyDescent="0.3"/>
    <row r="7" spans="2:24" ht="7.2" customHeight="1" x14ac:dyDescent="0.3"/>
    <row r="39" spans="23:23" x14ac:dyDescent="0.3">
      <c r="W39" t="s">
        <v>1154</v>
      </c>
    </row>
  </sheetData>
  <mergeCells count="6">
    <mergeCell ref="V2:X5"/>
    <mergeCell ref="B2:D5"/>
    <mergeCell ref="F2:H5"/>
    <mergeCell ref="J2:L5"/>
    <mergeCell ref="N2:P5"/>
    <mergeCell ref="R2:T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zoomScale="64" workbookViewId="0">
      <pane ySplit="1" topLeftCell="A3" activePane="bottomLeft" state="frozen"/>
      <selection pane="bottomLeft" activeCell="D4" sqref="D4"/>
    </sheetView>
  </sheetViews>
  <sheetFormatPr defaultRowHeight="14.4" x14ac:dyDescent="0.3"/>
  <cols>
    <col min="1" max="1" width="19.44140625" bestFit="1" customWidth="1"/>
    <col min="2" max="2" width="10.33203125" bestFit="1" customWidth="1"/>
    <col min="3" max="3" width="11.44140625" bestFit="1" customWidth="1"/>
    <col min="4" max="4" width="10.33203125" bestFit="1" customWidth="1"/>
    <col min="5" max="5" width="16.5546875" bestFit="1" customWidth="1"/>
    <col min="6" max="6" width="20.109375" bestFit="1" customWidth="1"/>
    <col min="7" max="7" width="27.77734375" bestFit="1" customWidth="1"/>
    <col min="8" max="8" width="22.109375" bestFit="1" customWidth="1"/>
    <col min="9" max="9" width="13.109375" style="11" bestFit="1" customWidth="1"/>
    <col min="10" max="10" width="23.33203125" bestFit="1" customWidth="1"/>
    <col min="11" max="11" width="15.44140625" bestFit="1" customWidth="1"/>
    <col min="12" max="12" width="15" bestFit="1" customWidth="1"/>
    <col min="13" max="13" width="19.77734375" style="18" customWidth="1"/>
    <col min="14" max="14" width="18.109375" customWidth="1"/>
    <col min="15" max="15" width="23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" t="s">
        <v>11</v>
      </c>
      <c r="M1" s="16" t="s">
        <v>1122</v>
      </c>
      <c r="N1" s="16" t="s">
        <v>1123</v>
      </c>
      <c r="O1" s="16" t="s">
        <v>1124</v>
      </c>
    </row>
    <row r="2" spans="1:15" x14ac:dyDescent="0.3">
      <c r="A2" s="2" t="s">
        <v>12</v>
      </c>
      <c r="B2" s="3">
        <v>45293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12">
        <v>14721.5</v>
      </c>
      <c r="J2" s="4">
        <v>12000</v>
      </c>
      <c r="K2" s="2" t="s">
        <v>19</v>
      </c>
      <c r="L2" s="2" t="s">
        <v>20</v>
      </c>
      <c r="M2" s="17">
        <f>IF(J2=0,"0",I2-J2)</f>
        <v>2721.5</v>
      </c>
      <c r="N2" s="15">
        <f>IF(D2="Income",I2,-I2)</f>
        <v>-14721.5</v>
      </c>
      <c r="O2" t="str">
        <f>IF(M2&gt;0,"Yes","No")</f>
        <v>Yes</v>
      </c>
    </row>
    <row r="3" spans="1:15" x14ac:dyDescent="0.3">
      <c r="A3" s="5" t="s">
        <v>21</v>
      </c>
      <c r="B3" s="6">
        <v>45294</v>
      </c>
      <c r="C3" s="5" t="s">
        <v>13</v>
      </c>
      <c r="D3" s="5" t="s">
        <v>14</v>
      </c>
      <c r="E3" s="5" t="s">
        <v>22</v>
      </c>
      <c r="F3" s="5" t="s">
        <v>23</v>
      </c>
      <c r="G3" s="5" t="s">
        <v>24</v>
      </c>
      <c r="H3" s="5" t="s">
        <v>25</v>
      </c>
      <c r="I3" s="14">
        <v>2992.04</v>
      </c>
      <c r="J3" s="7">
        <v>2500</v>
      </c>
      <c r="K3" s="5" t="s">
        <v>26</v>
      </c>
      <c r="L3" s="5" t="s">
        <v>27</v>
      </c>
      <c r="M3" s="17">
        <f t="shared" ref="M3:M66" si="0">IF(J3=0,"0",I3-J3)</f>
        <v>492.03999999999996</v>
      </c>
      <c r="N3" s="15">
        <f t="shared" ref="N3:N66" si="1">IF(D3="Income",I3,-I3)</f>
        <v>-2992.04</v>
      </c>
      <c r="O3" t="str">
        <f t="shared" ref="O3:O66" si="2">IF(M3&gt;0,"Yes","No")</f>
        <v>Yes</v>
      </c>
    </row>
    <row r="4" spans="1:15" x14ac:dyDescent="0.3">
      <c r="A4" s="2" t="s">
        <v>28</v>
      </c>
      <c r="B4" s="3">
        <v>45294</v>
      </c>
      <c r="C4" s="2" t="s">
        <v>13</v>
      </c>
      <c r="D4" s="2" t="s">
        <v>14</v>
      </c>
      <c r="E4" s="2" t="s">
        <v>29</v>
      </c>
      <c r="F4" s="2" t="s">
        <v>30</v>
      </c>
      <c r="G4" s="2" t="s">
        <v>31</v>
      </c>
      <c r="H4" s="2" t="s">
        <v>32</v>
      </c>
      <c r="I4" s="12">
        <v>1652.03</v>
      </c>
      <c r="J4" s="4">
        <v>3000</v>
      </c>
      <c r="K4" s="2" t="s">
        <v>26</v>
      </c>
      <c r="L4" s="2" t="s">
        <v>20</v>
      </c>
      <c r="M4" s="17">
        <f t="shared" si="0"/>
        <v>-1347.97</v>
      </c>
      <c r="N4" s="15">
        <f t="shared" si="1"/>
        <v>-1652.03</v>
      </c>
      <c r="O4" t="str">
        <f t="shared" si="2"/>
        <v>No</v>
      </c>
    </row>
    <row r="5" spans="1:15" x14ac:dyDescent="0.3">
      <c r="A5" s="5" t="s">
        <v>33</v>
      </c>
      <c r="B5" s="6">
        <v>45294</v>
      </c>
      <c r="C5" s="5" t="s">
        <v>13</v>
      </c>
      <c r="D5" s="5" t="s">
        <v>14</v>
      </c>
      <c r="E5" s="5" t="s">
        <v>34</v>
      </c>
      <c r="F5" s="5" t="s">
        <v>35</v>
      </c>
      <c r="G5" s="5" t="s">
        <v>36</v>
      </c>
      <c r="H5" s="5" t="s">
        <v>37</v>
      </c>
      <c r="I5" s="14">
        <v>3958.95</v>
      </c>
      <c r="J5" s="7">
        <v>4000</v>
      </c>
      <c r="K5" s="5" t="s">
        <v>38</v>
      </c>
      <c r="L5" s="5" t="s">
        <v>27</v>
      </c>
      <c r="M5" s="17">
        <f t="shared" si="0"/>
        <v>-41.050000000000182</v>
      </c>
      <c r="N5" s="15">
        <f t="shared" si="1"/>
        <v>-3958.95</v>
      </c>
      <c r="O5" t="str">
        <f t="shared" si="2"/>
        <v>No</v>
      </c>
    </row>
    <row r="6" spans="1:15" x14ac:dyDescent="0.3">
      <c r="A6" s="2" t="s">
        <v>39</v>
      </c>
      <c r="B6" s="3">
        <v>45295</v>
      </c>
      <c r="C6" s="2" t="s">
        <v>13</v>
      </c>
      <c r="D6" s="2" t="s">
        <v>14</v>
      </c>
      <c r="E6" s="2" t="s">
        <v>40</v>
      </c>
      <c r="F6" s="2" t="s">
        <v>41</v>
      </c>
      <c r="G6" s="2" t="s">
        <v>42</v>
      </c>
      <c r="H6" s="2" t="s">
        <v>18</v>
      </c>
      <c r="I6" s="12">
        <v>7132.33</v>
      </c>
      <c r="J6" s="4">
        <v>6000</v>
      </c>
      <c r="K6" s="2" t="s">
        <v>38</v>
      </c>
      <c r="L6" s="2" t="s">
        <v>27</v>
      </c>
      <c r="M6" s="17">
        <f t="shared" si="0"/>
        <v>1132.33</v>
      </c>
      <c r="N6" s="15">
        <f t="shared" si="1"/>
        <v>-7132.33</v>
      </c>
      <c r="O6" t="str">
        <f t="shared" si="2"/>
        <v>Yes</v>
      </c>
    </row>
    <row r="7" spans="1:15" x14ac:dyDescent="0.3">
      <c r="A7" s="5" t="s">
        <v>43</v>
      </c>
      <c r="B7" s="6">
        <v>45295</v>
      </c>
      <c r="C7" s="5" t="s">
        <v>13</v>
      </c>
      <c r="D7" s="5" t="s">
        <v>14</v>
      </c>
      <c r="E7" s="5" t="s">
        <v>44</v>
      </c>
      <c r="F7" s="5" t="s">
        <v>45</v>
      </c>
      <c r="G7" s="5" t="s">
        <v>46</v>
      </c>
      <c r="H7" s="5" t="s">
        <v>32</v>
      </c>
      <c r="I7" s="14">
        <v>13934.06</v>
      </c>
      <c r="J7" s="7">
        <v>15000</v>
      </c>
      <c r="K7" s="5" t="s">
        <v>47</v>
      </c>
      <c r="L7" s="5" t="s">
        <v>20</v>
      </c>
      <c r="M7" s="17">
        <f t="shared" si="0"/>
        <v>-1065.9400000000005</v>
      </c>
      <c r="N7" s="15">
        <f t="shared" si="1"/>
        <v>-13934.06</v>
      </c>
      <c r="O7" t="str">
        <f t="shared" si="2"/>
        <v>No</v>
      </c>
    </row>
    <row r="8" spans="1:15" x14ac:dyDescent="0.3">
      <c r="A8" s="2" t="s">
        <v>48</v>
      </c>
      <c r="B8" s="3">
        <v>45295</v>
      </c>
      <c r="C8" s="2" t="s">
        <v>13</v>
      </c>
      <c r="D8" s="2" t="s">
        <v>14</v>
      </c>
      <c r="E8" s="2" t="s">
        <v>49</v>
      </c>
      <c r="F8" s="2" t="s">
        <v>50</v>
      </c>
      <c r="G8" s="2" t="s">
        <v>51</v>
      </c>
      <c r="H8" s="2" t="s">
        <v>52</v>
      </c>
      <c r="I8" s="12">
        <v>4262.7299999999996</v>
      </c>
      <c r="J8" s="4">
        <v>3500</v>
      </c>
      <c r="K8" s="2" t="s">
        <v>19</v>
      </c>
      <c r="L8" s="2" t="s">
        <v>27</v>
      </c>
      <c r="M8" s="17">
        <f t="shared" si="0"/>
        <v>762.72999999999956</v>
      </c>
      <c r="N8" s="15">
        <f t="shared" si="1"/>
        <v>-4262.7299999999996</v>
      </c>
      <c r="O8" t="str">
        <f t="shared" si="2"/>
        <v>Yes</v>
      </c>
    </row>
    <row r="9" spans="1:15" x14ac:dyDescent="0.3">
      <c r="A9" s="5" t="s">
        <v>53</v>
      </c>
      <c r="B9" s="6">
        <v>45296</v>
      </c>
      <c r="C9" s="5" t="s">
        <v>13</v>
      </c>
      <c r="D9" s="5" t="s">
        <v>54</v>
      </c>
      <c r="E9" s="5" t="s">
        <v>55</v>
      </c>
      <c r="F9" s="5" t="s">
        <v>56</v>
      </c>
      <c r="G9" s="5" t="s">
        <v>57</v>
      </c>
      <c r="H9" s="5" t="s">
        <v>37</v>
      </c>
      <c r="I9" s="14">
        <v>51320.36</v>
      </c>
      <c r="J9" s="7">
        <v>0</v>
      </c>
      <c r="K9" s="5" t="s">
        <v>38</v>
      </c>
      <c r="L9" s="5" t="s">
        <v>20</v>
      </c>
      <c r="M9" s="17" t="str">
        <f t="shared" si="0"/>
        <v>0</v>
      </c>
      <c r="N9" s="15">
        <f t="shared" si="1"/>
        <v>51320.36</v>
      </c>
      <c r="O9" t="str">
        <f t="shared" si="2"/>
        <v>Yes</v>
      </c>
    </row>
    <row r="10" spans="1:15" x14ac:dyDescent="0.3">
      <c r="A10" s="2" t="s">
        <v>58</v>
      </c>
      <c r="B10" s="3">
        <v>45298</v>
      </c>
      <c r="C10" s="2" t="s">
        <v>13</v>
      </c>
      <c r="D10" s="2" t="s">
        <v>14</v>
      </c>
      <c r="E10" s="2" t="s">
        <v>34</v>
      </c>
      <c r="F10" s="2" t="s">
        <v>35</v>
      </c>
      <c r="G10" s="2" t="s">
        <v>36</v>
      </c>
      <c r="H10" s="2" t="s">
        <v>52</v>
      </c>
      <c r="I10" s="12">
        <v>2155.5100000000002</v>
      </c>
      <c r="J10" s="4">
        <v>4000</v>
      </c>
      <c r="K10" s="2" t="s">
        <v>19</v>
      </c>
      <c r="L10" s="2" t="s">
        <v>20</v>
      </c>
      <c r="M10" s="17">
        <f t="shared" si="0"/>
        <v>-1844.4899999999998</v>
      </c>
      <c r="N10" s="15">
        <f t="shared" si="1"/>
        <v>-2155.5100000000002</v>
      </c>
      <c r="O10" t="str">
        <f t="shared" si="2"/>
        <v>No</v>
      </c>
    </row>
    <row r="11" spans="1:15" x14ac:dyDescent="0.3">
      <c r="A11" s="5" t="s">
        <v>59</v>
      </c>
      <c r="B11" s="6">
        <v>45299</v>
      </c>
      <c r="C11" s="5" t="s">
        <v>13</v>
      </c>
      <c r="D11" s="5" t="s">
        <v>14</v>
      </c>
      <c r="E11" s="5" t="s">
        <v>15</v>
      </c>
      <c r="F11" s="5" t="s">
        <v>60</v>
      </c>
      <c r="G11" s="5" t="s">
        <v>61</v>
      </c>
      <c r="H11" s="5" t="s">
        <v>37</v>
      </c>
      <c r="I11" s="14">
        <v>12191.71</v>
      </c>
      <c r="J11" s="7">
        <v>12000</v>
      </c>
      <c r="K11" s="5" t="s">
        <v>47</v>
      </c>
      <c r="L11" s="5" t="s">
        <v>20</v>
      </c>
      <c r="M11" s="17">
        <f t="shared" si="0"/>
        <v>191.70999999999913</v>
      </c>
      <c r="N11" s="15">
        <f t="shared" si="1"/>
        <v>-12191.71</v>
      </c>
      <c r="O11" t="str">
        <f t="shared" si="2"/>
        <v>Yes</v>
      </c>
    </row>
    <row r="12" spans="1:15" x14ac:dyDescent="0.3">
      <c r="A12" s="2" t="s">
        <v>62</v>
      </c>
      <c r="B12" s="3">
        <v>45300</v>
      </c>
      <c r="C12" s="2" t="s">
        <v>13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37</v>
      </c>
      <c r="I12" s="12">
        <v>51405.21</v>
      </c>
      <c r="J12" s="4">
        <v>0</v>
      </c>
      <c r="K12" s="2" t="s">
        <v>38</v>
      </c>
      <c r="L12" s="2" t="s">
        <v>20</v>
      </c>
      <c r="M12" s="17" t="str">
        <f t="shared" si="0"/>
        <v>0</v>
      </c>
      <c r="N12" s="15">
        <f t="shared" si="1"/>
        <v>51405.21</v>
      </c>
      <c r="O12" t="str">
        <f t="shared" si="2"/>
        <v>Yes</v>
      </c>
    </row>
    <row r="13" spans="1:15" x14ac:dyDescent="0.3">
      <c r="A13" s="5" t="s">
        <v>63</v>
      </c>
      <c r="B13" s="6">
        <v>45300</v>
      </c>
      <c r="C13" s="5" t="s">
        <v>13</v>
      </c>
      <c r="D13" s="5" t="s">
        <v>54</v>
      </c>
      <c r="E13" s="5" t="s">
        <v>55</v>
      </c>
      <c r="F13" s="5" t="s">
        <v>56</v>
      </c>
      <c r="G13" s="5" t="s">
        <v>57</v>
      </c>
      <c r="H13" s="5" t="s">
        <v>25</v>
      </c>
      <c r="I13" s="14">
        <v>43740.05</v>
      </c>
      <c r="J13" s="7">
        <v>0</v>
      </c>
      <c r="K13" s="5" t="s">
        <v>26</v>
      </c>
      <c r="L13" s="5" t="s">
        <v>20</v>
      </c>
      <c r="M13" s="17" t="str">
        <f t="shared" si="0"/>
        <v>0</v>
      </c>
      <c r="N13" s="15">
        <f t="shared" si="1"/>
        <v>43740.05</v>
      </c>
      <c r="O13" t="str">
        <f t="shared" si="2"/>
        <v>Yes</v>
      </c>
    </row>
    <row r="14" spans="1:15" x14ac:dyDescent="0.3">
      <c r="A14" s="2" t="s">
        <v>64</v>
      </c>
      <c r="B14" s="3">
        <v>45300</v>
      </c>
      <c r="C14" s="2" t="s">
        <v>13</v>
      </c>
      <c r="D14" s="2" t="s">
        <v>14</v>
      </c>
      <c r="E14" s="2" t="s">
        <v>44</v>
      </c>
      <c r="F14" s="2" t="s">
        <v>45</v>
      </c>
      <c r="G14" s="2" t="s">
        <v>46</v>
      </c>
      <c r="H14" s="2" t="s">
        <v>37</v>
      </c>
      <c r="I14" s="12">
        <v>18669.28</v>
      </c>
      <c r="J14" s="4">
        <v>15000</v>
      </c>
      <c r="K14" s="2" t="s">
        <v>47</v>
      </c>
      <c r="L14" s="2" t="s">
        <v>20</v>
      </c>
      <c r="M14" s="17">
        <f t="shared" si="0"/>
        <v>3669.2799999999988</v>
      </c>
      <c r="N14" s="15">
        <f t="shared" si="1"/>
        <v>-18669.28</v>
      </c>
      <c r="O14" t="str">
        <f t="shared" si="2"/>
        <v>Yes</v>
      </c>
    </row>
    <row r="15" spans="1:15" x14ac:dyDescent="0.3">
      <c r="A15" s="5" t="s">
        <v>65</v>
      </c>
      <c r="B15" s="6">
        <v>45300</v>
      </c>
      <c r="C15" s="5" t="s">
        <v>13</v>
      </c>
      <c r="D15" s="5" t="s">
        <v>14</v>
      </c>
      <c r="E15" s="5" t="s">
        <v>22</v>
      </c>
      <c r="F15" s="5" t="s">
        <v>66</v>
      </c>
      <c r="G15" s="5" t="s">
        <v>67</v>
      </c>
      <c r="H15" s="5" t="s">
        <v>18</v>
      </c>
      <c r="I15" s="14">
        <v>1844.73</v>
      </c>
      <c r="J15" s="7">
        <v>2500</v>
      </c>
      <c r="K15" s="5" t="s">
        <v>19</v>
      </c>
      <c r="L15" s="5" t="s">
        <v>27</v>
      </c>
      <c r="M15" s="17">
        <f t="shared" si="0"/>
        <v>-655.27</v>
      </c>
      <c r="N15" s="15">
        <f t="shared" si="1"/>
        <v>-1844.73</v>
      </c>
      <c r="O15" t="str">
        <f t="shared" si="2"/>
        <v>No</v>
      </c>
    </row>
    <row r="16" spans="1:15" x14ac:dyDescent="0.3">
      <c r="A16" s="2" t="s">
        <v>68</v>
      </c>
      <c r="B16" s="3">
        <v>45300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37</v>
      </c>
      <c r="I16" s="12">
        <v>12382.12</v>
      </c>
      <c r="J16" s="4">
        <v>12000</v>
      </c>
      <c r="K16" s="2" t="s">
        <v>19</v>
      </c>
      <c r="L16" s="2" t="s">
        <v>20</v>
      </c>
      <c r="M16" s="17">
        <f t="shared" si="0"/>
        <v>382.1200000000008</v>
      </c>
      <c r="N16" s="15">
        <f t="shared" si="1"/>
        <v>-12382.12</v>
      </c>
      <c r="O16" t="str">
        <f t="shared" si="2"/>
        <v>Yes</v>
      </c>
    </row>
    <row r="17" spans="1:15" x14ac:dyDescent="0.3">
      <c r="A17" s="5" t="s">
        <v>69</v>
      </c>
      <c r="B17" s="6">
        <v>45300</v>
      </c>
      <c r="C17" s="5" t="s">
        <v>13</v>
      </c>
      <c r="D17" s="5" t="s">
        <v>54</v>
      </c>
      <c r="E17" s="5" t="s">
        <v>55</v>
      </c>
      <c r="F17" s="5" t="s">
        <v>56</v>
      </c>
      <c r="G17" s="5" t="s">
        <v>57</v>
      </c>
      <c r="H17" s="5" t="s">
        <v>37</v>
      </c>
      <c r="I17" s="14">
        <v>53176.54</v>
      </c>
      <c r="J17" s="7">
        <v>0</v>
      </c>
      <c r="K17" s="5" t="s">
        <v>26</v>
      </c>
      <c r="L17" s="5" t="s">
        <v>20</v>
      </c>
      <c r="M17" s="17" t="str">
        <f t="shared" si="0"/>
        <v>0</v>
      </c>
      <c r="N17" s="15">
        <f t="shared" si="1"/>
        <v>53176.54</v>
      </c>
      <c r="O17" t="str">
        <f t="shared" si="2"/>
        <v>Yes</v>
      </c>
    </row>
    <row r="18" spans="1:15" x14ac:dyDescent="0.3">
      <c r="A18" s="2" t="s">
        <v>70</v>
      </c>
      <c r="B18" s="3">
        <v>45301</v>
      </c>
      <c r="C18" s="2" t="s">
        <v>13</v>
      </c>
      <c r="D18" s="2" t="s">
        <v>14</v>
      </c>
      <c r="E18" s="2" t="s">
        <v>40</v>
      </c>
      <c r="F18" s="2" t="s">
        <v>41</v>
      </c>
      <c r="G18" s="2" t="s">
        <v>42</v>
      </c>
      <c r="H18" s="2" t="s">
        <v>18</v>
      </c>
      <c r="I18" s="12">
        <v>6042.03</v>
      </c>
      <c r="J18" s="4">
        <v>6000</v>
      </c>
      <c r="K18" s="2" t="s">
        <v>38</v>
      </c>
      <c r="L18" s="2" t="s">
        <v>27</v>
      </c>
      <c r="M18" s="17">
        <f t="shared" si="0"/>
        <v>42.029999999999745</v>
      </c>
      <c r="N18" s="15">
        <f t="shared" si="1"/>
        <v>-6042.03</v>
      </c>
      <c r="O18" t="str">
        <f t="shared" si="2"/>
        <v>Yes</v>
      </c>
    </row>
    <row r="19" spans="1:15" x14ac:dyDescent="0.3">
      <c r="A19" s="5" t="s">
        <v>71</v>
      </c>
      <c r="B19" s="6">
        <v>45301</v>
      </c>
      <c r="C19" s="5" t="s">
        <v>13</v>
      </c>
      <c r="D19" s="5" t="s">
        <v>14</v>
      </c>
      <c r="E19" s="5" t="s">
        <v>72</v>
      </c>
      <c r="F19" s="5" t="s">
        <v>73</v>
      </c>
      <c r="G19" s="5" t="s">
        <v>74</v>
      </c>
      <c r="H19" s="5" t="s">
        <v>18</v>
      </c>
      <c r="I19" s="14">
        <v>1072.07</v>
      </c>
      <c r="J19" s="7">
        <v>2000</v>
      </c>
      <c r="K19" s="5" t="s">
        <v>26</v>
      </c>
      <c r="L19" s="5" t="s">
        <v>27</v>
      </c>
      <c r="M19" s="17">
        <f t="shared" si="0"/>
        <v>-927.93000000000006</v>
      </c>
      <c r="N19" s="15">
        <f t="shared" si="1"/>
        <v>-1072.07</v>
      </c>
      <c r="O19" t="str">
        <f t="shared" si="2"/>
        <v>No</v>
      </c>
    </row>
    <row r="20" spans="1:15" x14ac:dyDescent="0.3">
      <c r="A20" s="2" t="s">
        <v>75</v>
      </c>
      <c r="B20" s="3">
        <v>45301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37</v>
      </c>
      <c r="I20" s="12">
        <v>13053.31</v>
      </c>
      <c r="J20" s="4">
        <v>12000</v>
      </c>
      <c r="K20" s="2" t="s">
        <v>26</v>
      </c>
      <c r="L20" s="2" t="s">
        <v>20</v>
      </c>
      <c r="M20" s="17">
        <f t="shared" si="0"/>
        <v>1053.3099999999995</v>
      </c>
      <c r="N20" s="15">
        <f t="shared" si="1"/>
        <v>-13053.31</v>
      </c>
      <c r="O20" t="str">
        <f t="shared" si="2"/>
        <v>Yes</v>
      </c>
    </row>
    <row r="21" spans="1:15" x14ac:dyDescent="0.3">
      <c r="A21" s="5" t="s">
        <v>76</v>
      </c>
      <c r="B21" s="6">
        <v>45302</v>
      </c>
      <c r="C21" s="5" t="s">
        <v>13</v>
      </c>
      <c r="D21" s="5" t="s">
        <v>14</v>
      </c>
      <c r="E21" s="5" t="s">
        <v>49</v>
      </c>
      <c r="F21" s="5" t="s">
        <v>77</v>
      </c>
      <c r="G21" s="5" t="s">
        <v>78</v>
      </c>
      <c r="H21" s="5" t="s">
        <v>37</v>
      </c>
      <c r="I21" s="14">
        <v>3306.63</v>
      </c>
      <c r="J21" s="7">
        <v>3500</v>
      </c>
      <c r="K21" s="5" t="s">
        <v>47</v>
      </c>
      <c r="L21" s="5" t="s">
        <v>27</v>
      </c>
      <c r="M21" s="17">
        <f t="shared" si="0"/>
        <v>-193.36999999999989</v>
      </c>
      <c r="N21" s="15">
        <f t="shared" si="1"/>
        <v>-3306.63</v>
      </c>
      <c r="O21" t="str">
        <f t="shared" si="2"/>
        <v>No</v>
      </c>
    </row>
    <row r="22" spans="1:15" x14ac:dyDescent="0.3">
      <c r="A22" s="2" t="s">
        <v>79</v>
      </c>
      <c r="B22" s="3">
        <v>45302</v>
      </c>
      <c r="C22" s="2" t="s">
        <v>13</v>
      </c>
      <c r="D22" s="2" t="s">
        <v>14</v>
      </c>
      <c r="E22" s="2" t="s">
        <v>29</v>
      </c>
      <c r="F22" s="2" t="s">
        <v>80</v>
      </c>
      <c r="G22" s="2" t="s">
        <v>81</v>
      </c>
      <c r="H22" s="2" t="s">
        <v>18</v>
      </c>
      <c r="I22" s="12">
        <v>2930.3</v>
      </c>
      <c r="J22" s="4">
        <v>3000</v>
      </c>
      <c r="K22" s="2" t="s">
        <v>47</v>
      </c>
      <c r="L22" s="2" t="s">
        <v>20</v>
      </c>
      <c r="M22" s="17">
        <f t="shared" si="0"/>
        <v>-69.699999999999818</v>
      </c>
      <c r="N22" s="15">
        <f t="shared" si="1"/>
        <v>-2930.3</v>
      </c>
      <c r="O22" t="str">
        <f t="shared" si="2"/>
        <v>No</v>
      </c>
    </row>
    <row r="23" spans="1:15" x14ac:dyDescent="0.3">
      <c r="A23" s="5" t="s">
        <v>82</v>
      </c>
      <c r="B23" s="6">
        <v>45304</v>
      </c>
      <c r="C23" s="5" t="s">
        <v>13</v>
      </c>
      <c r="D23" s="5" t="s">
        <v>14</v>
      </c>
      <c r="E23" s="5" t="s">
        <v>15</v>
      </c>
      <c r="F23" s="5" t="s">
        <v>83</v>
      </c>
      <c r="G23" s="5" t="s">
        <v>84</v>
      </c>
      <c r="H23" s="5" t="s">
        <v>25</v>
      </c>
      <c r="I23" s="14">
        <v>10675.61</v>
      </c>
      <c r="J23" s="7">
        <v>12000</v>
      </c>
      <c r="K23" s="5" t="s">
        <v>19</v>
      </c>
      <c r="L23" s="5" t="s">
        <v>20</v>
      </c>
      <c r="M23" s="17">
        <f t="shared" si="0"/>
        <v>-1324.3899999999994</v>
      </c>
      <c r="N23" s="15">
        <f t="shared" si="1"/>
        <v>-10675.61</v>
      </c>
      <c r="O23" t="str">
        <f t="shared" si="2"/>
        <v>No</v>
      </c>
    </row>
    <row r="24" spans="1:15" x14ac:dyDescent="0.3">
      <c r="A24" s="2" t="s">
        <v>85</v>
      </c>
      <c r="B24" s="3">
        <v>45304</v>
      </c>
      <c r="C24" s="2" t="s">
        <v>13</v>
      </c>
      <c r="D24" s="2" t="s">
        <v>14</v>
      </c>
      <c r="E24" s="2" t="s">
        <v>49</v>
      </c>
      <c r="F24" s="2" t="s">
        <v>50</v>
      </c>
      <c r="G24" s="2" t="s">
        <v>51</v>
      </c>
      <c r="H24" s="2" t="s">
        <v>32</v>
      </c>
      <c r="I24" s="12">
        <v>3873.43</v>
      </c>
      <c r="J24" s="4">
        <v>3500</v>
      </c>
      <c r="K24" s="2" t="s">
        <v>38</v>
      </c>
      <c r="L24" s="2" t="s">
        <v>27</v>
      </c>
      <c r="M24" s="17">
        <f t="shared" si="0"/>
        <v>373.42999999999984</v>
      </c>
      <c r="N24" s="15">
        <f t="shared" si="1"/>
        <v>-3873.43</v>
      </c>
      <c r="O24" t="str">
        <f t="shared" si="2"/>
        <v>Yes</v>
      </c>
    </row>
    <row r="25" spans="1:15" x14ac:dyDescent="0.3">
      <c r="A25" s="5" t="s">
        <v>86</v>
      </c>
      <c r="B25" s="6">
        <v>45304</v>
      </c>
      <c r="C25" s="5" t="s">
        <v>13</v>
      </c>
      <c r="D25" s="5" t="s">
        <v>54</v>
      </c>
      <c r="E25" s="5" t="s">
        <v>87</v>
      </c>
      <c r="F25" s="5" t="s">
        <v>88</v>
      </c>
      <c r="G25" s="5" t="s">
        <v>89</v>
      </c>
      <c r="H25" s="5" t="s">
        <v>32</v>
      </c>
      <c r="I25" s="14">
        <v>11099.03</v>
      </c>
      <c r="J25" s="7">
        <v>0</v>
      </c>
      <c r="K25" s="5" t="s">
        <v>26</v>
      </c>
      <c r="L25" s="5" t="s">
        <v>27</v>
      </c>
      <c r="M25" s="17" t="str">
        <f t="shared" si="0"/>
        <v>0</v>
      </c>
      <c r="N25" s="15">
        <f t="shared" si="1"/>
        <v>11099.03</v>
      </c>
      <c r="O25" t="str">
        <f t="shared" si="2"/>
        <v>Yes</v>
      </c>
    </row>
    <row r="26" spans="1:15" x14ac:dyDescent="0.3">
      <c r="A26" s="2" t="s">
        <v>90</v>
      </c>
      <c r="B26" s="3">
        <v>45305</v>
      </c>
      <c r="C26" s="2" t="s">
        <v>13</v>
      </c>
      <c r="D26" s="2" t="s">
        <v>14</v>
      </c>
      <c r="E26" s="2" t="s">
        <v>22</v>
      </c>
      <c r="F26" s="2" t="s">
        <v>23</v>
      </c>
      <c r="G26" s="2" t="s">
        <v>24</v>
      </c>
      <c r="H26" s="2" t="s">
        <v>37</v>
      </c>
      <c r="I26" s="12">
        <v>1311.05</v>
      </c>
      <c r="J26" s="4">
        <v>2500</v>
      </c>
      <c r="K26" s="2" t="s">
        <v>47</v>
      </c>
      <c r="L26" s="2" t="s">
        <v>27</v>
      </c>
      <c r="M26" s="17">
        <f t="shared" si="0"/>
        <v>-1188.95</v>
      </c>
      <c r="N26" s="15">
        <f t="shared" si="1"/>
        <v>-1311.05</v>
      </c>
      <c r="O26" t="str">
        <f t="shared" si="2"/>
        <v>No</v>
      </c>
    </row>
    <row r="27" spans="1:15" x14ac:dyDescent="0.3">
      <c r="A27" s="5" t="s">
        <v>91</v>
      </c>
      <c r="B27" s="6">
        <v>45306</v>
      </c>
      <c r="C27" s="5" t="s">
        <v>13</v>
      </c>
      <c r="D27" s="5" t="s">
        <v>14</v>
      </c>
      <c r="E27" s="5" t="s">
        <v>49</v>
      </c>
      <c r="F27" s="5" t="s">
        <v>77</v>
      </c>
      <c r="G27" s="5" t="s">
        <v>78</v>
      </c>
      <c r="H27" s="5" t="s">
        <v>37</v>
      </c>
      <c r="I27" s="14">
        <v>2056.7600000000002</v>
      </c>
      <c r="J27" s="7">
        <v>3500</v>
      </c>
      <c r="K27" s="5" t="s">
        <v>47</v>
      </c>
      <c r="L27" s="5" t="s">
        <v>27</v>
      </c>
      <c r="M27" s="17">
        <f t="shared" si="0"/>
        <v>-1443.2399999999998</v>
      </c>
      <c r="N27" s="15">
        <f t="shared" si="1"/>
        <v>-2056.7600000000002</v>
      </c>
      <c r="O27" t="str">
        <f t="shared" si="2"/>
        <v>No</v>
      </c>
    </row>
    <row r="28" spans="1:15" x14ac:dyDescent="0.3">
      <c r="A28" s="2" t="s">
        <v>92</v>
      </c>
      <c r="B28" s="3">
        <v>45306</v>
      </c>
      <c r="C28" s="2" t="s">
        <v>13</v>
      </c>
      <c r="D28" s="2" t="s">
        <v>14</v>
      </c>
      <c r="E28" s="2" t="s">
        <v>22</v>
      </c>
      <c r="F28" s="2" t="s">
        <v>66</v>
      </c>
      <c r="G28" s="2" t="s">
        <v>67</v>
      </c>
      <c r="H28" s="2" t="s">
        <v>37</v>
      </c>
      <c r="I28" s="12">
        <v>1311.64</v>
      </c>
      <c r="J28" s="4">
        <v>2500</v>
      </c>
      <c r="K28" s="2" t="s">
        <v>26</v>
      </c>
      <c r="L28" s="2" t="s">
        <v>27</v>
      </c>
      <c r="M28" s="17">
        <f t="shared" si="0"/>
        <v>-1188.3599999999999</v>
      </c>
      <c r="N28" s="15">
        <f t="shared" si="1"/>
        <v>-1311.64</v>
      </c>
      <c r="O28" t="str">
        <f t="shared" si="2"/>
        <v>No</v>
      </c>
    </row>
    <row r="29" spans="1:15" x14ac:dyDescent="0.3">
      <c r="A29" s="5" t="s">
        <v>93</v>
      </c>
      <c r="B29" s="6">
        <v>45306</v>
      </c>
      <c r="C29" s="5" t="s">
        <v>13</v>
      </c>
      <c r="D29" s="5" t="s">
        <v>14</v>
      </c>
      <c r="E29" s="5" t="s">
        <v>34</v>
      </c>
      <c r="F29" s="5" t="s">
        <v>94</v>
      </c>
      <c r="G29" s="5" t="s">
        <v>95</v>
      </c>
      <c r="H29" s="5" t="s">
        <v>18</v>
      </c>
      <c r="I29" s="14">
        <v>3893.16</v>
      </c>
      <c r="J29" s="7">
        <v>4000</v>
      </c>
      <c r="K29" s="5" t="s">
        <v>47</v>
      </c>
      <c r="L29" s="5" t="s">
        <v>27</v>
      </c>
      <c r="M29" s="17">
        <f t="shared" si="0"/>
        <v>-106.84000000000015</v>
      </c>
      <c r="N29" s="15">
        <f t="shared" si="1"/>
        <v>-3893.16</v>
      </c>
      <c r="O29" t="str">
        <f t="shared" si="2"/>
        <v>No</v>
      </c>
    </row>
    <row r="30" spans="1:15" x14ac:dyDescent="0.3">
      <c r="A30" s="2" t="s">
        <v>96</v>
      </c>
      <c r="B30" s="3">
        <v>45308</v>
      </c>
      <c r="C30" s="2" t="s">
        <v>13</v>
      </c>
      <c r="D30" s="2" t="s">
        <v>14</v>
      </c>
      <c r="E30" s="2" t="s">
        <v>40</v>
      </c>
      <c r="F30" s="2" t="s">
        <v>97</v>
      </c>
      <c r="G30" s="2" t="s">
        <v>98</v>
      </c>
      <c r="H30" s="2" t="s">
        <v>37</v>
      </c>
      <c r="I30" s="12">
        <v>4706.49</v>
      </c>
      <c r="J30" s="4">
        <v>6000</v>
      </c>
      <c r="K30" s="2" t="s">
        <v>19</v>
      </c>
      <c r="L30" s="2" t="s">
        <v>27</v>
      </c>
      <c r="M30" s="17">
        <f t="shared" si="0"/>
        <v>-1293.5100000000002</v>
      </c>
      <c r="N30" s="15">
        <f t="shared" si="1"/>
        <v>-4706.49</v>
      </c>
      <c r="O30" t="str">
        <f t="shared" si="2"/>
        <v>No</v>
      </c>
    </row>
    <row r="31" spans="1:15" x14ac:dyDescent="0.3">
      <c r="A31" s="5" t="s">
        <v>99</v>
      </c>
      <c r="B31" s="6">
        <v>45310</v>
      </c>
      <c r="C31" s="5" t="s">
        <v>13</v>
      </c>
      <c r="D31" s="5" t="s">
        <v>14</v>
      </c>
      <c r="E31" s="5" t="s">
        <v>49</v>
      </c>
      <c r="F31" s="5" t="s">
        <v>77</v>
      </c>
      <c r="G31" s="5" t="s">
        <v>78</v>
      </c>
      <c r="H31" s="5" t="s">
        <v>37</v>
      </c>
      <c r="I31" s="14">
        <v>2607.5500000000002</v>
      </c>
      <c r="J31" s="7">
        <v>3500</v>
      </c>
      <c r="K31" s="5" t="s">
        <v>19</v>
      </c>
      <c r="L31" s="5" t="s">
        <v>27</v>
      </c>
      <c r="M31" s="17">
        <f t="shared" si="0"/>
        <v>-892.44999999999982</v>
      </c>
      <c r="N31" s="15">
        <f t="shared" si="1"/>
        <v>-2607.5500000000002</v>
      </c>
      <c r="O31" t="str">
        <f t="shared" si="2"/>
        <v>No</v>
      </c>
    </row>
    <row r="32" spans="1:15" x14ac:dyDescent="0.3">
      <c r="A32" s="2" t="s">
        <v>100</v>
      </c>
      <c r="B32" s="3">
        <v>45311</v>
      </c>
      <c r="C32" s="2" t="s">
        <v>13</v>
      </c>
      <c r="D32" s="2" t="s">
        <v>14</v>
      </c>
      <c r="E32" s="2" t="s">
        <v>22</v>
      </c>
      <c r="F32" s="2" t="s">
        <v>66</v>
      </c>
      <c r="G32" s="2" t="s">
        <v>67</v>
      </c>
      <c r="H32" s="2" t="s">
        <v>37</v>
      </c>
      <c r="I32" s="12">
        <v>1656.45</v>
      </c>
      <c r="J32" s="4">
        <v>2500</v>
      </c>
      <c r="K32" s="2" t="s">
        <v>19</v>
      </c>
      <c r="L32" s="2" t="s">
        <v>27</v>
      </c>
      <c r="M32" s="17">
        <f t="shared" si="0"/>
        <v>-843.55</v>
      </c>
      <c r="N32" s="15">
        <f t="shared" si="1"/>
        <v>-1656.45</v>
      </c>
      <c r="O32" t="str">
        <f t="shared" si="2"/>
        <v>No</v>
      </c>
    </row>
    <row r="33" spans="1:15" x14ac:dyDescent="0.3">
      <c r="A33" s="5" t="s">
        <v>101</v>
      </c>
      <c r="B33" s="6">
        <v>45313</v>
      </c>
      <c r="C33" s="5" t="s">
        <v>13</v>
      </c>
      <c r="D33" s="5" t="s">
        <v>14</v>
      </c>
      <c r="E33" s="5" t="s">
        <v>44</v>
      </c>
      <c r="F33" s="5" t="s">
        <v>45</v>
      </c>
      <c r="G33" s="5" t="s">
        <v>46</v>
      </c>
      <c r="H33" s="5" t="s">
        <v>37</v>
      </c>
      <c r="I33" s="14">
        <v>17801.8</v>
      </c>
      <c r="J33" s="7">
        <v>15000</v>
      </c>
      <c r="K33" s="5" t="s">
        <v>26</v>
      </c>
      <c r="L33" s="5" t="s">
        <v>20</v>
      </c>
      <c r="M33" s="17">
        <f t="shared" si="0"/>
        <v>2801.7999999999993</v>
      </c>
      <c r="N33" s="15">
        <f t="shared" si="1"/>
        <v>-17801.8</v>
      </c>
      <c r="O33" t="str">
        <f t="shared" si="2"/>
        <v>Yes</v>
      </c>
    </row>
    <row r="34" spans="1:15" x14ac:dyDescent="0.3">
      <c r="A34" s="2" t="s">
        <v>102</v>
      </c>
      <c r="B34" s="3">
        <v>45314</v>
      </c>
      <c r="C34" s="2" t="s">
        <v>13</v>
      </c>
      <c r="D34" s="2" t="s">
        <v>14</v>
      </c>
      <c r="E34" s="2" t="s">
        <v>15</v>
      </c>
      <c r="F34" s="2" t="s">
        <v>60</v>
      </c>
      <c r="G34" s="2" t="s">
        <v>61</v>
      </c>
      <c r="H34" s="2" t="s">
        <v>18</v>
      </c>
      <c r="I34" s="12">
        <v>11638.41</v>
      </c>
      <c r="J34" s="4">
        <v>12000</v>
      </c>
      <c r="K34" s="2" t="s">
        <v>19</v>
      </c>
      <c r="L34" s="2" t="s">
        <v>20</v>
      </c>
      <c r="M34" s="17">
        <f t="shared" si="0"/>
        <v>-361.59000000000015</v>
      </c>
      <c r="N34" s="15">
        <f t="shared" si="1"/>
        <v>-11638.41</v>
      </c>
      <c r="O34" t="str">
        <f t="shared" si="2"/>
        <v>No</v>
      </c>
    </row>
    <row r="35" spans="1:15" x14ac:dyDescent="0.3">
      <c r="A35" s="5" t="s">
        <v>103</v>
      </c>
      <c r="B35" s="6">
        <v>45315</v>
      </c>
      <c r="C35" s="5" t="s">
        <v>13</v>
      </c>
      <c r="D35" s="5" t="s">
        <v>14</v>
      </c>
      <c r="E35" s="5" t="s">
        <v>104</v>
      </c>
      <c r="F35" s="5" t="s">
        <v>105</v>
      </c>
      <c r="G35" s="5" t="s">
        <v>106</v>
      </c>
      <c r="H35" s="5" t="s">
        <v>52</v>
      </c>
      <c r="I35" s="14">
        <v>2404.7800000000002</v>
      </c>
      <c r="J35" s="7">
        <v>2000</v>
      </c>
      <c r="K35" s="5" t="s">
        <v>38</v>
      </c>
      <c r="L35" s="5" t="s">
        <v>27</v>
      </c>
      <c r="M35" s="17">
        <f t="shared" si="0"/>
        <v>404.7800000000002</v>
      </c>
      <c r="N35" s="15">
        <f t="shared" si="1"/>
        <v>-2404.7800000000002</v>
      </c>
      <c r="O35" t="str">
        <f t="shared" si="2"/>
        <v>Yes</v>
      </c>
    </row>
    <row r="36" spans="1:15" x14ac:dyDescent="0.3">
      <c r="A36" s="2" t="s">
        <v>107</v>
      </c>
      <c r="B36" s="3">
        <v>45317</v>
      </c>
      <c r="C36" s="2" t="s">
        <v>13</v>
      </c>
      <c r="D36" s="2" t="s">
        <v>14</v>
      </c>
      <c r="E36" s="2" t="s">
        <v>44</v>
      </c>
      <c r="F36" s="2" t="s">
        <v>45</v>
      </c>
      <c r="G36" s="2" t="s">
        <v>46</v>
      </c>
      <c r="H36" s="2" t="s">
        <v>25</v>
      </c>
      <c r="I36" s="12">
        <v>18478.34</v>
      </c>
      <c r="J36" s="4">
        <v>15000</v>
      </c>
      <c r="K36" s="2" t="s">
        <v>38</v>
      </c>
      <c r="L36" s="2" t="s">
        <v>20</v>
      </c>
      <c r="M36" s="17">
        <f t="shared" si="0"/>
        <v>3478.34</v>
      </c>
      <c r="N36" s="15">
        <f t="shared" si="1"/>
        <v>-18478.34</v>
      </c>
      <c r="O36" t="str">
        <f t="shared" si="2"/>
        <v>Yes</v>
      </c>
    </row>
    <row r="37" spans="1:15" x14ac:dyDescent="0.3">
      <c r="A37" s="5" t="s">
        <v>108</v>
      </c>
      <c r="B37" s="6">
        <v>45317</v>
      </c>
      <c r="C37" s="5" t="s">
        <v>13</v>
      </c>
      <c r="D37" s="5" t="s">
        <v>14</v>
      </c>
      <c r="E37" s="5" t="s">
        <v>29</v>
      </c>
      <c r="F37" s="5" t="s">
        <v>109</v>
      </c>
      <c r="G37" s="5" t="s">
        <v>110</v>
      </c>
      <c r="H37" s="5" t="s">
        <v>25</v>
      </c>
      <c r="I37" s="14">
        <v>2822.89</v>
      </c>
      <c r="J37" s="7">
        <v>3000</v>
      </c>
      <c r="K37" s="5" t="s">
        <v>47</v>
      </c>
      <c r="L37" s="5" t="s">
        <v>20</v>
      </c>
      <c r="M37" s="17">
        <f t="shared" si="0"/>
        <v>-177.11000000000013</v>
      </c>
      <c r="N37" s="15">
        <f t="shared" si="1"/>
        <v>-2822.89</v>
      </c>
      <c r="O37" t="str">
        <f t="shared" si="2"/>
        <v>No</v>
      </c>
    </row>
    <row r="38" spans="1:15" x14ac:dyDescent="0.3">
      <c r="A38" s="2" t="s">
        <v>111</v>
      </c>
      <c r="B38" s="3">
        <v>45318</v>
      </c>
      <c r="C38" s="2" t="s">
        <v>13</v>
      </c>
      <c r="D38" s="2" t="s">
        <v>14</v>
      </c>
      <c r="E38" s="2" t="s">
        <v>112</v>
      </c>
      <c r="F38" s="2" t="s">
        <v>113</v>
      </c>
      <c r="G38" s="2" t="s">
        <v>114</v>
      </c>
      <c r="H38" s="2" t="s">
        <v>18</v>
      </c>
      <c r="I38" s="12">
        <v>4592.6899999999996</v>
      </c>
      <c r="J38" s="4">
        <v>8000</v>
      </c>
      <c r="K38" s="2" t="s">
        <v>26</v>
      </c>
      <c r="L38" s="2" t="s">
        <v>20</v>
      </c>
      <c r="M38" s="17">
        <f t="shared" si="0"/>
        <v>-3407.3100000000004</v>
      </c>
      <c r="N38" s="15">
        <f t="shared" si="1"/>
        <v>-4592.6899999999996</v>
      </c>
      <c r="O38" t="str">
        <f t="shared" si="2"/>
        <v>No</v>
      </c>
    </row>
    <row r="39" spans="1:15" x14ac:dyDescent="0.3">
      <c r="A39" s="5" t="s">
        <v>115</v>
      </c>
      <c r="B39" s="6">
        <v>45318</v>
      </c>
      <c r="C39" s="5" t="s">
        <v>13</v>
      </c>
      <c r="D39" s="5" t="s">
        <v>14</v>
      </c>
      <c r="E39" s="5" t="s">
        <v>34</v>
      </c>
      <c r="F39" s="5" t="s">
        <v>94</v>
      </c>
      <c r="G39" s="5" t="s">
        <v>95</v>
      </c>
      <c r="H39" s="5" t="s">
        <v>18</v>
      </c>
      <c r="I39" s="14">
        <v>3242.24</v>
      </c>
      <c r="J39" s="7">
        <v>4000</v>
      </c>
      <c r="K39" s="5" t="s">
        <v>19</v>
      </c>
      <c r="L39" s="5" t="s">
        <v>20</v>
      </c>
      <c r="M39" s="17">
        <f t="shared" si="0"/>
        <v>-757.76000000000022</v>
      </c>
      <c r="N39" s="15">
        <f t="shared" si="1"/>
        <v>-3242.24</v>
      </c>
      <c r="O39" t="str">
        <f t="shared" si="2"/>
        <v>No</v>
      </c>
    </row>
    <row r="40" spans="1:15" x14ac:dyDescent="0.3">
      <c r="A40" s="2" t="s">
        <v>116</v>
      </c>
      <c r="B40" s="3">
        <v>45319</v>
      </c>
      <c r="C40" s="2" t="s">
        <v>13</v>
      </c>
      <c r="D40" s="2" t="s">
        <v>14</v>
      </c>
      <c r="E40" s="2" t="s">
        <v>15</v>
      </c>
      <c r="F40" s="2" t="s">
        <v>83</v>
      </c>
      <c r="G40" s="2" t="s">
        <v>84</v>
      </c>
      <c r="H40" s="2" t="s">
        <v>25</v>
      </c>
      <c r="I40" s="12">
        <v>12007.58</v>
      </c>
      <c r="J40" s="4">
        <v>12000</v>
      </c>
      <c r="K40" s="2" t="s">
        <v>38</v>
      </c>
      <c r="L40" s="2" t="s">
        <v>20</v>
      </c>
      <c r="M40" s="17">
        <f t="shared" si="0"/>
        <v>7.5799999999999272</v>
      </c>
      <c r="N40" s="15">
        <f t="shared" si="1"/>
        <v>-12007.58</v>
      </c>
      <c r="O40" t="str">
        <f t="shared" si="2"/>
        <v>Yes</v>
      </c>
    </row>
    <row r="41" spans="1:15" x14ac:dyDescent="0.3">
      <c r="A41" s="5" t="s">
        <v>117</v>
      </c>
      <c r="B41" s="6">
        <v>45320</v>
      </c>
      <c r="C41" s="5" t="s">
        <v>13</v>
      </c>
      <c r="D41" s="5" t="s">
        <v>14</v>
      </c>
      <c r="E41" s="5" t="s">
        <v>34</v>
      </c>
      <c r="F41" s="5" t="s">
        <v>35</v>
      </c>
      <c r="G41" s="5" t="s">
        <v>36</v>
      </c>
      <c r="H41" s="5" t="s">
        <v>37</v>
      </c>
      <c r="I41" s="14">
        <v>3712.34</v>
      </c>
      <c r="J41" s="7">
        <v>4000</v>
      </c>
      <c r="K41" s="5" t="s">
        <v>38</v>
      </c>
      <c r="L41" s="5" t="s">
        <v>27</v>
      </c>
      <c r="M41" s="17">
        <f t="shared" si="0"/>
        <v>-287.65999999999985</v>
      </c>
      <c r="N41" s="15">
        <f t="shared" si="1"/>
        <v>-3712.34</v>
      </c>
      <c r="O41" t="str">
        <f t="shared" si="2"/>
        <v>No</v>
      </c>
    </row>
    <row r="42" spans="1:15" x14ac:dyDescent="0.3">
      <c r="A42" s="2" t="s">
        <v>118</v>
      </c>
      <c r="B42" s="3">
        <v>45320</v>
      </c>
      <c r="C42" s="2" t="s">
        <v>13</v>
      </c>
      <c r="D42" s="2" t="s">
        <v>54</v>
      </c>
      <c r="E42" s="2" t="s">
        <v>55</v>
      </c>
      <c r="F42" s="2" t="s">
        <v>56</v>
      </c>
      <c r="G42" s="2" t="s">
        <v>57</v>
      </c>
      <c r="H42" s="2" t="s">
        <v>52</v>
      </c>
      <c r="I42" s="12">
        <v>49072.95</v>
      </c>
      <c r="J42" s="4">
        <v>0</v>
      </c>
      <c r="K42" s="2" t="s">
        <v>47</v>
      </c>
      <c r="L42" s="2" t="s">
        <v>20</v>
      </c>
      <c r="M42" s="17" t="str">
        <f t="shared" si="0"/>
        <v>0</v>
      </c>
      <c r="N42" s="15">
        <f t="shared" si="1"/>
        <v>49072.95</v>
      </c>
      <c r="O42" t="str">
        <f t="shared" si="2"/>
        <v>Yes</v>
      </c>
    </row>
    <row r="43" spans="1:15" x14ac:dyDescent="0.3">
      <c r="A43" s="5" t="s">
        <v>119</v>
      </c>
      <c r="B43" s="6">
        <v>45320</v>
      </c>
      <c r="C43" s="5" t="s">
        <v>13</v>
      </c>
      <c r="D43" s="5" t="s">
        <v>54</v>
      </c>
      <c r="E43" s="5" t="s">
        <v>55</v>
      </c>
      <c r="F43" s="5" t="s">
        <v>56</v>
      </c>
      <c r="G43" s="5" t="s">
        <v>57</v>
      </c>
      <c r="H43" s="5" t="s">
        <v>37</v>
      </c>
      <c r="I43" s="14">
        <v>44916.03</v>
      </c>
      <c r="J43" s="7">
        <v>0</v>
      </c>
      <c r="K43" s="5" t="s">
        <v>26</v>
      </c>
      <c r="L43" s="5" t="s">
        <v>20</v>
      </c>
      <c r="M43" s="17" t="str">
        <f t="shared" si="0"/>
        <v>0</v>
      </c>
      <c r="N43" s="15">
        <f t="shared" si="1"/>
        <v>44916.03</v>
      </c>
      <c r="O43" t="str">
        <f t="shared" si="2"/>
        <v>Yes</v>
      </c>
    </row>
    <row r="44" spans="1:15" x14ac:dyDescent="0.3">
      <c r="A44" s="2" t="s">
        <v>120</v>
      </c>
      <c r="B44" s="3">
        <v>45320</v>
      </c>
      <c r="C44" s="2" t="s">
        <v>13</v>
      </c>
      <c r="D44" s="2" t="s">
        <v>54</v>
      </c>
      <c r="E44" s="2" t="s">
        <v>55</v>
      </c>
      <c r="F44" s="2" t="s">
        <v>56</v>
      </c>
      <c r="G44" s="2" t="s">
        <v>57</v>
      </c>
      <c r="H44" s="2" t="s">
        <v>18</v>
      </c>
      <c r="I44" s="12">
        <v>52134.62</v>
      </c>
      <c r="J44" s="4">
        <v>0</v>
      </c>
      <c r="K44" s="2" t="s">
        <v>19</v>
      </c>
      <c r="L44" s="2" t="s">
        <v>20</v>
      </c>
      <c r="M44" s="17" t="str">
        <f t="shared" si="0"/>
        <v>0</v>
      </c>
      <c r="N44" s="15">
        <f t="shared" si="1"/>
        <v>52134.62</v>
      </c>
      <c r="O44" t="str">
        <f t="shared" si="2"/>
        <v>Yes</v>
      </c>
    </row>
    <row r="45" spans="1:15" x14ac:dyDescent="0.3">
      <c r="A45" s="5" t="s">
        <v>121</v>
      </c>
      <c r="B45" s="6">
        <v>45321</v>
      </c>
      <c r="C45" s="5" t="s">
        <v>13</v>
      </c>
      <c r="D45" s="5" t="s">
        <v>54</v>
      </c>
      <c r="E45" s="5" t="s">
        <v>55</v>
      </c>
      <c r="F45" s="5" t="s">
        <v>56</v>
      </c>
      <c r="G45" s="5" t="s">
        <v>57</v>
      </c>
      <c r="H45" s="5" t="s">
        <v>18</v>
      </c>
      <c r="I45" s="14">
        <v>54829.05</v>
      </c>
      <c r="J45" s="7">
        <v>0</v>
      </c>
      <c r="K45" s="5" t="s">
        <v>38</v>
      </c>
      <c r="L45" s="5" t="s">
        <v>20</v>
      </c>
      <c r="M45" s="17" t="str">
        <f t="shared" si="0"/>
        <v>0</v>
      </c>
      <c r="N45" s="15">
        <f t="shared" si="1"/>
        <v>54829.05</v>
      </c>
      <c r="O45" t="str">
        <f t="shared" si="2"/>
        <v>Yes</v>
      </c>
    </row>
    <row r="46" spans="1:15" x14ac:dyDescent="0.3">
      <c r="A46" s="2" t="s">
        <v>122</v>
      </c>
      <c r="B46" s="3">
        <v>45321</v>
      </c>
      <c r="C46" s="2" t="s">
        <v>13</v>
      </c>
      <c r="D46" s="2" t="s">
        <v>54</v>
      </c>
      <c r="E46" s="2" t="s">
        <v>55</v>
      </c>
      <c r="F46" s="2" t="s">
        <v>56</v>
      </c>
      <c r="G46" s="2" t="s">
        <v>57</v>
      </c>
      <c r="H46" s="2" t="s">
        <v>32</v>
      </c>
      <c r="I46" s="12">
        <v>41617.89</v>
      </c>
      <c r="J46" s="4">
        <v>0</v>
      </c>
      <c r="K46" s="2" t="s">
        <v>38</v>
      </c>
      <c r="L46" s="2" t="s">
        <v>20</v>
      </c>
      <c r="M46" s="17" t="str">
        <f t="shared" si="0"/>
        <v>0</v>
      </c>
      <c r="N46" s="15">
        <f t="shared" si="1"/>
        <v>41617.89</v>
      </c>
      <c r="O46" t="str">
        <f t="shared" si="2"/>
        <v>Yes</v>
      </c>
    </row>
    <row r="47" spans="1:15" x14ac:dyDescent="0.3">
      <c r="A47" s="5" t="s">
        <v>123</v>
      </c>
      <c r="B47" s="6">
        <v>45322</v>
      </c>
      <c r="C47" s="5" t="s">
        <v>13</v>
      </c>
      <c r="D47" s="5" t="s">
        <v>14</v>
      </c>
      <c r="E47" s="5" t="s">
        <v>22</v>
      </c>
      <c r="F47" s="5" t="s">
        <v>66</v>
      </c>
      <c r="G47" s="5" t="s">
        <v>67</v>
      </c>
      <c r="H47" s="5" t="s">
        <v>25</v>
      </c>
      <c r="I47" s="14">
        <v>2116.62</v>
      </c>
      <c r="J47" s="7">
        <v>2500</v>
      </c>
      <c r="K47" s="5" t="s">
        <v>47</v>
      </c>
      <c r="L47" s="5" t="s">
        <v>27</v>
      </c>
      <c r="M47" s="17">
        <f t="shared" si="0"/>
        <v>-383.38000000000011</v>
      </c>
      <c r="N47" s="15">
        <f t="shared" si="1"/>
        <v>-2116.62</v>
      </c>
      <c r="O47" t="str">
        <f t="shared" si="2"/>
        <v>No</v>
      </c>
    </row>
    <row r="48" spans="1:15" x14ac:dyDescent="0.3">
      <c r="A48" s="2" t="s">
        <v>124</v>
      </c>
      <c r="B48" s="3">
        <v>45322</v>
      </c>
      <c r="C48" s="2" t="s">
        <v>13</v>
      </c>
      <c r="D48" s="2" t="s">
        <v>14</v>
      </c>
      <c r="E48" s="2" t="s">
        <v>44</v>
      </c>
      <c r="F48" s="2" t="s">
        <v>45</v>
      </c>
      <c r="G48" s="2" t="s">
        <v>46</v>
      </c>
      <c r="H48" s="2" t="s">
        <v>37</v>
      </c>
      <c r="I48" s="12">
        <v>18442.66</v>
      </c>
      <c r="J48" s="4">
        <v>15000</v>
      </c>
      <c r="K48" s="2" t="s">
        <v>38</v>
      </c>
      <c r="L48" s="2" t="s">
        <v>20</v>
      </c>
      <c r="M48" s="17">
        <f t="shared" si="0"/>
        <v>3442.66</v>
      </c>
      <c r="N48" s="15">
        <f t="shared" si="1"/>
        <v>-18442.66</v>
      </c>
      <c r="O48" t="str">
        <f t="shared" si="2"/>
        <v>Yes</v>
      </c>
    </row>
    <row r="49" spans="1:15" x14ac:dyDescent="0.3">
      <c r="A49" s="5" t="s">
        <v>125</v>
      </c>
      <c r="B49" s="6">
        <v>45322</v>
      </c>
      <c r="C49" s="5" t="s">
        <v>13</v>
      </c>
      <c r="D49" s="5" t="s">
        <v>14</v>
      </c>
      <c r="E49" s="5" t="s">
        <v>40</v>
      </c>
      <c r="F49" s="5" t="s">
        <v>41</v>
      </c>
      <c r="G49" s="5" t="s">
        <v>42</v>
      </c>
      <c r="H49" s="5" t="s">
        <v>18</v>
      </c>
      <c r="I49" s="14">
        <v>6080.77</v>
      </c>
      <c r="J49" s="7">
        <v>6000</v>
      </c>
      <c r="K49" s="5" t="s">
        <v>38</v>
      </c>
      <c r="L49" s="5" t="s">
        <v>27</v>
      </c>
      <c r="M49" s="17">
        <f t="shared" si="0"/>
        <v>80.770000000000437</v>
      </c>
      <c r="N49" s="15">
        <f t="shared" si="1"/>
        <v>-6080.77</v>
      </c>
      <c r="O49" t="str">
        <f t="shared" si="2"/>
        <v>Yes</v>
      </c>
    </row>
    <row r="50" spans="1:15" x14ac:dyDescent="0.3">
      <c r="A50" s="2" t="s">
        <v>126</v>
      </c>
      <c r="B50" s="3">
        <v>45323</v>
      </c>
      <c r="C50" s="2" t="s">
        <v>127</v>
      </c>
      <c r="D50" s="2" t="s">
        <v>54</v>
      </c>
      <c r="E50" s="2" t="s">
        <v>55</v>
      </c>
      <c r="F50" s="2" t="s">
        <v>56</v>
      </c>
      <c r="G50" s="2" t="s">
        <v>57</v>
      </c>
      <c r="H50" s="2" t="s">
        <v>25</v>
      </c>
      <c r="I50" s="12">
        <v>44276.73</v>
      </c>
      <c r="J50" s="4">
        <v>0</v>
      </c>
      <c r="K50" s="2" t="s">
        <v>26</v>
      </c>
      <c r="L50" s="2" t="s">
        <v>20</v>
      </c>
      <c r="M50" s="17" t="str">
        <f t="shared" si="0"/>
        <v>0</v>
      </c>
      <c r="N50" s="15">
        <f t="shared" si="1"/>
        <v>44276.73</v>
      </c>
      <c r="O50" t="str">
        <f t="shared" si="2"/>
        <v>Yes</v>
      </c>
    </row>
    <row r="51" spans="1:15" x14ac:dyDescent="0.3">
      <c r="A51" s="5" t="s">
        <v>128</v>
      </c>
      <c r="B51" s="6">
        <v>45323</v>
      </c>
      <c r="C51" s="5" t="s">
        <v>127</v>
      </c>
      <c r="D51" s="5" t="s">
        <v>14</v>
      </c>
      <c r="E51" s="5" t="s">
        <v>44</v>
      </c>
      <c r="F51" s="5" t="s">
        <v>45</v>
      </c>
      <c r="G51" s="5" t="s">
        <v>46</v>
      </c>
      <c r="H51" s="5" t="s">
        <v>32</v>
      </c>
      <c r="I51" s="14">
        <v>15431.86</v>
      </c>
      <c r="J51" s="7">
        <v>15000</v>
      </c>
      <c r="K51" s="5" t="s">
        <v>19</v>
      </c>
      <c r="L51" s="5" t="s">
        <v>20</v>
      </c>
      <c r="M51" s="17">
        <f t="shared" si="0"/>
        <v>431.86000000000058</v>
      </c>
      <c r="N51" s="15">
        <f t="shared" si="1"/>
        <v>-15431.86</v>
      </c>
      <c r="O51" t="str">
        <f t="shared" si="2"/>
        <v>Yes</v>
      </c>
    </row>
    <row r="52" spans="1:15" x14ac:dyDescent="0.3">
      <c r="A52" s="2" t="s">
        <v>129</v>
      </c>
      <c r="B52" s="3">
        <v>45323</v>
      </c>
      <c r="C52" s="2" t="s">
        <v>127</v>
      </c>
      <c r="D52" s="2" t="s">
        <v>54</v>
      </c>
      <c r="E52" s="2" t="s">
        <v>55</v>
      </c>
      <c r="F52" s="2" t="s">
        <v>56</v>
      </c>
      <c r="G52" s="2" t="s">
        <v>57</v>
      </c>
      <c r="H52" s="2" t="s">
        <v>37</v>
      </c>
      <c r="I52" s="12">
        <v>42308.93</v>
      </c>
      <c r="J52" s="4">
        <v>0</v>
      </c>
      <c r="K52" s="2" t="s">
        <v>38</v>
      </c>
      <c r="L52" s="2" t="s">
        <v>20</v>
      </c>
      <c r="M52" s="17" t="str">
        <f t="shared" si="0"/>
        <v>0</v>
      </c>
      <c r="N52" s="15">
        <f t="shared" si="1"/>
        <v>42308.93</v>
      </c>
      <c r="O52" t="str">
        <f t="shared" si="2"/>
        <v>Yes</v>
      </c>
    </row>
    <row r="53" spans="1:15" x14ac:dyDescent="0.3">
      <c r="A53" s="5" t="s">
        <v>130</v>
      </c>
      <c r="B53" s="6">
        <v>45323</v>
      </c>
      <c r="C53" s="5" t="s">
        <v>127</v>
      </c>
      <c r="D53" s="5" t="s">
        <v>54</v>
      </c>
      <c r="E53" s="5" t="s">
        <v>55</v>
      </c>
      <c r="F53" s="5" t="s">
        <v>56</v>
      </c>
      <c r="G53" s="5" t="s">
        <v>57</v>
      </c>
      <c r="H53" s="5" t="s">
        <v>37</v>
      </c>
      <c r="I53" s="14">
        <v>48666.12</v>
      </c>
      <c r="J53" s="7">
        <v>0</v>
      </c>
      <c r="K53" s="5" t="s">
        <v>19</v>
      </c>
      <c r="L53" s="5" t="s">
        <v>20</v>
      </c>
      <c r="M53" s="17" t="str">
        <f t="shared" si="0"/>
        <v>0</v>
      </c>
      <c r="N53" s="15">
        <f t="shared" si="1"/>
        <v>48666.12</v>
      </c>
      <c r="O53" t="str">
        <f t="shared" si="2"/>
        <v>Yes</v>
      </c>
    </row>
    <row r="54" spans="1:15" x14ac:dyDescent="0.3">
      <c r="A54" s="2" t="s">
        <v>131</v>
      </c>
      <c r="B54" s="3">
        <v>45323</v>
      </c>
      <c r="C54" s="2" t="s">
        <v>127</v>
      </c>
      <c r="D54" s="2" t="s">
        <v>14</v>
      </c>
      <c r="E54" s="2" t="s">
        <v>72</v>
      </c>
      <c r="F54" s="2" t="s">
        <v>132</v>
      </c>
      <c r="G54" s="2" t="s">
        <v>133</v>
      </c>
      <c r="H54" s="2" t="s">
        <v>18</v>
      </c>
      <c r="I54" s="12">
        <v>2206.0300000000002</v>
      </c>
      <c r="J54" s="4">
        <v>2000</v>
      </c>
      <c r="K54" s="2" t="s">
        <v>19</v>
      </c>
      <c r="L54" s="2" t="s">
        <v>20</v>
      </c>
      <c r="M54" s="17">
        <f t="shared" si="0"/>
        <v>206.0300000000002</v>
      </c>
      <c r="N54" s="15">
        <f t="shared" si="1"/>
        <v>-2206.0300000000002</v>
      </c>
      <c r="O54" t="str">
        <f t="shared" si="2"/>
        <v>Yes</v>
      </c>
    </row>
    <row r="55" spans="1:15" x14ac:dyDescent="0.3">
      <c r="A55" s="5" t="s">
        <v>134</v>
      </c>
      <c r="B55" s="6">
        <v>45323</v>
      </c>
      <c r="C55" s="5" t="s">
        <v>127</v>
      </c>
      <c r="D55" s="5" t="s">
        <v>14</v>
      </c>
      <c r="E55" s="5" t="s">
        <v>112</v>
      </c>
      <c r="F55" s="5" t="s">
        <v>135</v>
      </c>
      <c r="G55" s="5" t="s">
        <v>136</v>
      </c>
      <c r="H55" s="5" t="s">
        <v>37</v>
      </c>
      <c r="I55" s="14">
        <v>9083.24</v>
      </c>
      <c r="J55" s="7">
        <v>8000</v>
      </c>
      <c r="K55" s="5" t="s">
        <v>47</v>
      </c>
      <c r="L55" s="5" t="s">
        <v>20</v>
      </c>
      <c r="M55" s="17">
        <f t="shared" si="0"/>
        <v>1083.2399999999998</v>
      </c>
      <c r="N55" s="15">
        <f t="shared" si="1"/>
        <v>-9083.24</v>
      </c>
      <c r="O55" t="str">
        <f t="shared" si="2"/>
        <v>Yes</v>
      </c>
    </row>
    <row r="56" spans="1:15" x14ac:dyDescent="0.3">
      <c r="A56" s="2" t="s">
        <v>137</v>
      </c>
      <c r="B56" s="3">
        <v>45324</v>
      </c>
      <c r="C56" s="2" t="s">
        <v>127</v>
      </c>
      <c r="D56" s="2" t="s">
        <v>14</v>
      </c>
      <c r="E56" s="2" t="s">
        <v>15</v>
      </c>
      <c r="F56" s="2" t="s">
        <v>16</v>
      </c>
      <c r="G56" s="2" t="s">
        <v>17</v>
      </c>
      <c r="H56" s="2" t="s">
        <v>32</v>
      </c>
      <c r="I56" s="12">
        <v>10331.94</v>
      </c>
      <c r="J56" s="4">
        <v>12000</v>
      </c>
      <c r="K56" s="2" t="s">
        <v>26</v>
      </c>
      <c r="L56" s="2" t="s">
        <v>20</v>
      </c>
      <c r="M56" s="17">
        <f t="shared" si="0"/>
        <v>-1668.0599999999995</v>
      </c>
      <c r="N56" s="15">
        <f t="shared" si="1"/>
        <v>-10331.94</v>
      </c>
      <c r="O56" t="str">
        <f t="shared" si="2"/>
        <v>No</v>
      </c>
    </row>
    <row r="57" spans="1:15" x14ac:dyDescent="0.3">
      <c r="A57" s="5" t="s">
        <v>138</v>
      </c>
      <c r="B57" s="6">
        <v>45324</v>
      </c>
      <c r="C57" s="5" t="s">
        <v>127</v>
      </c>
      <c r="D57" s="5" t="s">
        <v>14</v>
      </c>
      <c r="E57" s="5" t="s">
        <v>15</v>
      </c>
      <c r="F57" s="5" t="s">
        <v>83</v>
      </c>
      <c r="G57" s="5" t="s">
        <v>84</v>
      </c>
      <c r="H57" s="5" t="s">
        <v>37</v>
      </c>
      <c r="I57" s="14">
        <v>9113.9699999999993</v>
      </c>
      <c r="J57" s="7">
        <v>12000</v>
      </c>
      <c r="K57" s="5" t="s">
        <v>38</v>
      </c>
      <c r="L57" s="5" t="s">
        <v>20</v>
      </c>
      <c r="M57" s="17">
        <f t="shared" si="0"/>
        <v>-2886.0300000000007</v>
      </c>
      <c r="N57" s="15">
        <f t="shared" si="1"/>
        <v>-9113.9699999999993</v>
      </c>
      <c r="O57" t="str">
        <f t="shared" si="2"/>
        <v>No</v>
      </c>
    </row>
    <row r="58" spans="1:15" x14ac:dyDescent="0.3">
      <c r="A58" s="2" t="s">
        <v>139</v>
      </c>
      <c r="B58" s="3">
        <v>45325</v>
      </c>
      <c r="C58" s="2" t="s">
        <v>127</v>
      </c>
      <c r="D58" s="2" t="s">
        <v>54</v>
      </c>
      <c r="E58" s="2" t="s">
        <v>55</v>
      </c>
      <c r="F58" s="2" t="s">
        <v>56</v>
      </c>
      <c r="G58" s="2" t="s">
        <v>57</v>
      </c>
      <c r="H58" s="2" t="s">
        <v>37</v>
      </c>
      <c r="I58" s="12">
        <v>46096.76</v>
      </c>
      <c r="J58" s="4">
        <v>0</v>
      </c>
      <c r="K58" s="2" t="s">
        <v>26</v>
      </c>
      <c r="L58" s="2" t="s">
        <v>20</v>
      </c>
      <c r="M58" s="17" t="str">
        <f t="shared" si="0"/>
        <v>0</v>
      </c>
      <c r="N58" s="15">
        <f t="shared" si="1"/>
        <v>46096.76</v>
      </c>
      <c r="O58" t="str">
        <f t="shared" si="2"/>
        <v>Yes</v>
      </c>
    </row>
    <row r="59" spans="1:15" x14ac:dyDescent="0.3">
      <c r="A59" s="5" t="s">
        <v>140</v>
      </c>
      <c r="B59" s="6">
        <v>45325</v>
      </c>
      <c r="C59" s="5" t="s">
        <v>127</v>
      </c>
      <c r="D59" s="5" t="s">
        <v>54</v>
      </c>
      <c r="E59" s="5" t="s">
        <v>55</v>
      </c>
      <c r="F59" s="5" t="s">
        <v>56</v>
      </c>
      <c r="G59" s="5" t="s">
        <v>57</v>
      </c>
      <c r="H59" s="5" t="s">
        <v>18</v>
      </c>
      <c r="I59" s="14">
        <v>42013.42</v>
      </c>
      <c r="J59" s="7">
        <v>0</v>
      </c>
      <c r="K59" s="5" t="s">
        <v>38</v>
      </c>
      <c r="L59" s="5" t="s">
        <v>20</v>
      </c>
      <c r="M59" s="17" t="str">
        <f t="shared" si="0"/>
        <v>0</v>
      </c>
      <c r="N59" s="15">
        <f t="shared" si="1"/>
        <v>42013.42</v>
      </c>
      <c r="O59" t="str">
        <f t="shared" si="2"/>
        <v>Yes</v>
      </c>
    </row>
    <row r="60" spans="1:15" x14ac:dyDescent="0.3">
      <c r="A60" s="2" t="s">
        <v>141</v>
      </c>
      <c r="B60" s="3">
        <v>45325</v>
      </c>
      <c r="C60" s="2" t="s">
        <v>127</v>
      </c>
      <c r="D60" s="2" t="s">
        <v>14</v>
      </c>
      <c r="E60" s="2" t="s">
        <v>72</v>
      </c>
      <c r="F60" s="2" t="s">
        <v>73</v>
      </c>
      <c r="G60" s="2" t="s">
        <v>74</v>
      </c>
      <c r="H60" s="2" t="s">
        <v>52</v>
      </c>
      <c r="I60" s="12">
        <v>1288.72</v>
      </c>
      <c r="J60" s="4">
        <v>2000</v>
      </c>
      <c r="K60" s="2" t="s">
        <v>38</v>
      </c>
      <c r="L60" s="2" t="s">
        <v>27</v>
      </c>
      <c r="M60" s="17">
        <f t="shared" si="0"/>
        <v>-711.28</v>
      </c>
      <c r="N60" s="15">
        <f t="shared" si="1"/>
        <v>-1288.72</v>
      </c>
      <c r="O60" t="str">
        <f t="shared" si="2"/>
        <v>No</v>
      </c>
    </row>
    <row r="61" spans="1:15" x14ac:dyDescent="0.3">
      <c r="A61" s="5" t="s">
        <v>142</v>
      </c>
      <c r="B61" s="6">
        <v>45326</v>
      </c>
      <c r="C61" s="5" t="s">
        <v>127</v>
      </c>
      <c r="D61" s="5" t="s">
        <v>14</v>
      </c>
      <c r="E61" s="5" t="s">
        <v>104</v>
      </c>
      <c r="F61" s="5" t="s">
        <v>105</v>
      </c>
      <c r="G61" s="5" t="s">
        <v>106</v>
      </c>
      <c r="H61" s="5" t="s">
        <v>37</v>
      </c>
      <c r="I61" s="14">
        <v>2083.75</v>
      </c>
      <c r="J61" s="7">
        <v>2000</v>
      </c>
      <c r="K61" s="5" t="s">
        <v>47</v>
      </c>
      <c r="L61" s="5" t="s">
        <v>27</v>
      </c>
      <c r="M61" s="17">
        <f t="shared" si="0"/>
        <v>83.75</v>
      </c>
      <c r="N61" s="15">
        <f t="shared" si="1"/>
        <v>-2083.75</v>
      </c>
      <c r="O61" t="str">
        <f t="shared" si="2"/>
        <v>Yes</v>
      </c>
    </row>
    <row r="62" spans="1:15" x14ac:dyDescent="0.3">
      <c r="A62" s="2" t="s">
        <v>143</v>
      </c>
      <c r="B62" s="3">
        <v>45328</v>
      </c>
      <c r="C62" s="2" t="s">
        <v>127</v>
      </c>
      <c r="D62" s="2" t="s">
        <v>14</v>
      </c>
      <c r="E62" s="2" t="s">
        <v>15</v>
      </c>
      <c r="F62" s="2" t="s">
        <v>16</v>
      </c>
      <c r="G62" s="2" t="s">
        <v>17</v>
      </c>
      <c r="H62" s="2" t="s">
        <v>32</v>
      </c>
      <c r="I62" s="12">
        <v>9842.36</v>
      </c>
      <c r="J62" s="4">
        <v>12000</v>
      </c>
      <c r="K62" s="2" t="s">
        <v>38</v>
      </c>
      <c r="L62" s="2" t="s">
        <v>20</v>
      </c>
      <c r="M62" s="17">
        <f t="shared" si="0"/>
        <v>-2157.6399999999994</v>
      </c>
      <c r="N62" s="15">
        <f t="shared" si="1"/>
        <v>-9842.36</v>
      </c>
      <c r="O62" t="str">
        <f t="shared" si="2"/>
        <v>No</v>
      </c>
    </row>
    <row r="63" spans="1:15" x14ac:dyDescent="0.3">
      <c r="A63" s="5" t="s">
        <v>144</v>
      </c>
      <c r="B63" s="6">
        <v>45328</v>
      </c>
      <c r="C63" s="5" t="s">
        <v>127</v>
      </c>
      <c r="D63" s="5" t="s">
        <v>14</v>
      </c>
      <c r="E63" s="5" t="s">
        <v>72</v>
      </c>
      <c r="F63" s="5" t="s">
        <v>132</v>
      </c>
      <c r="G63" s="5" t="s">
        <v>133</v>
      </c>
      <c r="H63" s="5" t="s">
        <v>52</v>
      </c>
      <c r="I63" s="14">
        <v>1796.74</v>
      </c>
      <c r="J63" s="7">
        <v>2000</v>
      </c>
      <c r="K63" s="5" t="s">
        <v>47</v>
      </c>
      <c r="L63" s="5" t="s">
        <v>27</v>
      </c>
      <c r="M63" s="17">
        <f t="shared" si="0"/>
        <v>-203.26</v>
      </c>
      <c r="N63" s="15">
        <f t="shared" si="1"/>
        <v>-1796.74</v>
      </c>
      <c r="O63" t="str">
        <f t="shared" si="2"/>
        <v>No</v>
      </c>
    </row>
    <row r="64" spans="1:15" x14ac:dyDescent="0.3">
      <c r="A64" s="2" t="s">
        <v>145</v>
      </c>
      <c r="B64" s="3">
        <v>45329</v>
      </c>
      <c r="C64" s="2" t="s">
        <v>127</v>
      </c>
      <c r="D64" s="2" t="s">
        <v>14</v>
      </c>
      <c r="E64" s="2" t="s">
        <v>112</v>
      </c>
      <c r="F64" s="2" t="s">
        <v>135</v>
      </c>
      <c r="G64" s="2" t="s">
        <v>136</v>
      </c>
      <c r="H64" s="2" t="s">
        <v>52</v>
      </c>
      <c r="I64" s="12">
        <v>7730.63</v>
      </c>
      <c r="J64" s="4">
        <v>8000</v>
      </c>
      <c r="K64" s="2" t="s">
        <v>38</v>
      </c>
      <c r="L64" s="2" t="s">
        <v>20</v>
      </c>
      <c r="M64" s="17">
        <f t="shared" si="0"/>
        <v>-269.36999999999989</v>
      </c>
      <c r="N64" s="15">
        <f t="shared" si="1"/>
        <v>-7730.63</v>
      </c>
      <c r="O64" t="str">
        <f t="shared" si="2"/>
        <v>No</v>
      </c>
    </row>
    <row r="65" spans="1:15" x14ac:dyDescent="0.3">
      <c r="A65" s="5" t="s">
        <v>146</v>
      </c>
      <c r="B65" s="6">
        <v>45330</v>
      </c>
      <c r="C65" s="5" t="s">
        <v>127</v>
      </c>
      <c r="D65" s="5" t="s">
        <v>14</v>
      </c>
      <c r="E65" s="5" t="s">
        <v>44</v>
      </c>
      <c r="F65" s="5" t="s">
        <v>45</v>
      </c>
      <c r="G65" s="5" t="s">
        <v>46</v>
      </c>
      <c r="H65" s="5" t="s">
        <v>52</v>
      </c>
      <c r="I65" s="14">
        <v>13889.7</v>
      </c>
      <c r="J65" s="7">
        <v>15000</v>
      </c>
      <c r="K65" s="5" t="s">
        <v>26</v>
      </c>
      <c r="L65" s="5" t="s">
        <v>20</v>
      </c>
      <c r="M65" s="17">
        <f t="shared" si="0"/>
        <v>-1110.2999999999993</v>
      </c>
      <c r="N65" s="15">
        <f t="shared" si="1"/>
        <v>-13889.7</v>
      </c>
      <c r="O65" t="str">
        <f t="shared" si="2"/>
        <v>No</v>
      </c>
    </row>
    <row r="66" spans="1:15" x14ac:dyDescent="0.3">
      <c r="A66" s="2" t="s">
        <v>147</v>
      </c>
      <c r="B66" s="3">
        <v>45331</v>
      </c>
      <c r="C66" s="2" t="s">
        <v>127</v>
      </c>
      <c r="D66" s="2" t="s">
        <v>14</v>
      </c>
      <c r="E66" s="2" t="s">
        <v>29</v>
      </c>
      <c r="F66" s="2" t="s">
        <v>109</v>
      </c>
      <c r="G66" s="2" t="s">
        <v>110</v>
      </c>
      <c r="H66" s="2" t="s">
        <v>18</v>
      </c>
      <c r="I66" s="12">
        <v>2052.4</v>
      </c>
      <c r="J66" s="4">
        <v>3000</v>
      </c>
      <c r="K66" s="2" t="s">
        <v>26</v>
      </c>
      <c r="L66" s="2" t="s">
        <v>20</v>
      </c>
      <c r="M66" s="17">
        <f t="shared" si="0"/>
        <v>-947.59999999999991</v>
      </c>
      <c r="N66" s="15">
        <f t="shared" si="1"/>
        <v>-2052.4</v>
      </c>
      <c r="O66" t="str">
        <f t="shared" si="2"/>
        <v>No</v>
      </c>
    </row>
    <row r="67" spans="1:15" x14ac:dyDescent="0.3">
      <c r="A67" s="5" t="s">
        <v>148</v>
      </c>
      <c r="B67" s="6">
        <v>45331</v>
      </c>
      <c r="C67" s="5" t="s">
        <v>127</v>
      </c>
      <c r="D67" s="5" t="s">
        <v>14</v>
      </c>
      <c r="E67" s="5" t="s">
        <v>15</v>
      </c>
      <c r="F67" s="5" t="s">
        <v>83</v>
      </c>
      <c r="G67" s="5" t="s">
        <v>84</v>
      </c>
      <c r="H67" s="5" t="s">
        <v>37</v>
      </c>
      <c r="I67" s="14">
        <v>9053.26</v>
      </c>
      <c r="J67" s="7">
        <v>12000</v>
      </c>
      <c r="K67" s="5" t="s">
        <v>26</v>
      </c>
      <c r="L67" s="5" t="s">
        <v>20</v>
      </c>
      <c r="M67" s="17">
        <f t="shared" ref="M67:M130" si="3">IF(J67=0,"0",I67-J67)</f>
        <v>-2946.74</v>
      </c>
      <c r="N67" s="15">
        <f t="shared" ref="N67:N130" si="4">IF(D67="Income",I67,-I67)</f>
        <v>-9053.26</v>
      </c>
      <c r="O67" t="str">
        <f t="shared" ref="O67:O130" si="5">IF(M67&gt;0,"Yes","No")</f>
        <v>No</v>
      </c>
    </row>
    <row r="68" spans="1:15" x14ac:dyDescent="0.3">
      <c r="A68" s="2" t="s">
        <v>149</v>
      </c>
      <c r="B68" s="3">
        <v>45331</v>
      </c>
      <c r="C68" s="2" t="s">
        <v>127</v>
      </c>
      <c r="D68" s="2" t="s">
        <v>14</v>
      </c>
      <c r="E68" s="2" t="s">
        <v>44</v>
      </c>
      <c r="F68" s="2" t="s">
        <v>45</v>
      </c>
      <c r="G68" s="2" t="s">
        <v>46</v>
      </c>
      <c r="H68" s="2" t="s">
        <v>18</v>
      </c>
      <c r="I68" s="12">
        <v>10286.34</v>
      </c>
      <c r="J68" s="4">
        <v>15000</v>
      </c>
      <c r="K68" s="2" t="s">
        <v>26</v>
      </c>
      <c r="L68" s="2" t="s">
        <v>20</v>
      </c>
      <c r="M68" s="17">
        <f t="shared" si="3"/>
        <v>-4713.66</v>
      </c>
      <c r="N68" s="15">
        <f t="shared" si="4"/>
        <v>-10286.34</v>
      </c>
      <c r="O68" t="str">
        <f t="shared" si="5"/>
        <v>No</v>
      </c>
    </row>
    <row r="69" spans="1:15" x14ac:dyDescent="0.3">
      <c r="A69" s="5" t="s">
        <v>150</v>
      </c>
      <c r="B69" s="6">
        <v>45331</v>
      </c>
      <c r="C69" s="5" t="s">
        <v>127</v>
      </c>
      <c r="D69" s="5" t="s">
        <v>14</v>
      </c>
      <c r="E69" s="5" t="s">
        <v>15</v>
      </c>
      <c r="F69" s="5" t="s">
        <v>16</v>
      </c>
      <c r="G69" s="5" t="s">
        <v>17</v>
      </c>
      <c r="H69" s="5" t="s">
        <v>37</v>
      </c>
      <c r="I69" s="14">
        <v>15481.88</v>
      </c>
      <c r="J69" s="7">
        <v>12000</v>
      </c>
      <c r="K69" s="5" t="s">
        <v>38</v>
      </c>
      <c r="L69" s="5" t="s">
        <v>20</v>
      </c>
      <c r="M69" s="17">
        <f t="shared" si="3"/>
        <v>3481.8799999999992</v>
      </c>
      <c r="N69" s="15">
        <f t="shared" si="4"/>
        <v>-15481.88</v>
      </c>
      <c r="O69" t="str">
        <f t="shared" si="5"/>
        <v>Yes</v>
      </c>
    </row>
    <row r="70" spans="1:15" x14ac:dyDescent="0.3">
      <c r="A70" s="2" t="s">
        <v>151</v>
      </c>
      <c r="B70" s="3">
        <v>45332</v>
      </c>
      <c r="C70" s="2" t="s">
        <v>127</v>
      </c>
      <c r="D70" s="2" t="s">
        <v>14</v>
      </c>
      <c r="E70" s="2" t="s">
        <v>44</v>
      </c>
      <c r="F70" s="2" t="s">
        <v>45</v>
      </c>
      <c r="G70" s="2" t="s">
        <v>46</v>
      </c>
      <c r="H70" s="2" t="s">
        <v>32</v>
      </c>
      <c r="I70" s="12">
        <v>12380.25</v>
      </c>
      <c r="J70" s="4">
        <v>15000</v>
      </c>
      <c r="K70" s="2" t="s">
        <v>47</v>
      </c>
      <c r="L70" s="2" t="s">
        <v>20</v>
      </c>
      <c r="M70" s="17">
        <f t="shared" si="3"/>
        <v>-2619.75</v>
      </c>
      <c r="N70" s="15">
        <f t="shared" si="4"/>
        <v>-12380.25</v>
      </c>
      <c r="O70" t="str">
        <f t="shared" si="5"/>
        <v>No</v>
      </c>
    </row>
    <row r="71" spans="1:15" x14ac:dyDescent="0.3">
      <c r="A71" s="5" t="s">
        <v>152</v>
      </c>
      <c r="B71" s="6">
        <v>45332</v>
      </c>
      <c r="C71" s="5" t="s">
        <v>127</v>
      </c>
      <c r="D71" s="5" t="s">
        <v>14</v>
      </c>
      <c r="E71" s="5" t="s">
        <v>15</v>
      </c>
      <c r="F71" s="5" t="s">
        <v>16</v>
      </c>
      <c r="G71" s="5" t="s">
        <v>17</v>
      </c>
      <c r="H71" s="5" t="s">
        <v>52</v>
      </c>
      <c r="I71" s="14">
        <v>11035.34</v>
      </c>
      <c r="J71" s="7">
        <v>12000</v>
      </c>
      <c r="K71" s="5" t="s">
        <v>26</v>
      </c>
      <c r="L71" s="5" t="s">
        <v>20</v>
      </c>
      <c r="M71" s="17">
        <f t="shared" si="3"/>
        <v>-964.65999999999985</v>
      </c>
      <c r="N71" s="15">
        <f t="shared" si="4"/>
        <v>-11035.34</v>
      </c>
      <c r="O71" t="str">
        <f t="shared" si="5"/>
        <v>No</v>
      </c>
    </row>
    <row r="72" spans="1:15" x14ac:dyDescent="0.3">
      <c r="A72" s="2" t="s">
        <v>153</v>
      </c>
      <c r="B72" s="3">
        <v>45332</v>
      </c>
      <c r="C72" s="2" t="s">
        <v>127</v>
      </c>
      <c r="D72" s="2" t="s">
        <v>14</v>
      </c>
      <c r="E72" s="2" t="s">
        <v>22</v>
      </c>
      <c r="F72" s="2" t="s">
        <v>154</v>
      </c>
      <c r="G72" s="2" t="s">
        <v>155</v>
      </c>
      <c r="H72" s="2" t="s">
        <v>18</v>
      </c>
      <c r="I72" s="12">
        <v>1495.9</v>
      </c>
      <c r="J72" s="4">
        <v>2500</v>
      </c>
      <c r="K72" s="2" t="s">
        <v>38</v>
      </c>
      <c r="L72" s="2" t="s">
        <v>27</v>
      </c>
      <c r="M72" s="17">
        <f t="shared" si="3"/>
        <v>-1004.0999999999999</v>
      </c>
      <c r="N72" s="15">
        <f t="shared" si="4"/>
        <v>-1495.9</v>
      </c>
      <c r="O72" t="str">
        <f t="shared" si="5"/>
        <v>No</v>
      </c>
    </row>
    <row r="73" spans="1:15" x14ac:dyDescent="0.3">
      <c r="A73" s="5" t="s">
        <v>156</v>
      </c>
      <c r="B73" s="6">
        <v>45332</v>
      </c>
      <c r="C73" s="5" t="s">
        <v>127</v>
      </c>
      <c r="D73" s="5" t="s">
        <v>14</v>
      </c>
      <c r="E73" s="5" t="s">
        <v>34</v>
      </c>
      <c r="F73" s="5" t="s">
        <v>157</v>
      </c>
      <c r="G73" s="5" t="s">
        <v>158</v>
      </c>
      <c r="H73" s="5" t="s">
        <v>52</v>
      </c>
      <c r="I73" s="14">
        <v>3894.18</v>
      </c>
      <c r="J73" s="7">
        <v>4000</v>
      </c>
      <c r="K73" s="5" t="s">
        <v>19</v>
      </c>
      <c r="L73" s="5" t="s">
        <v>27</v>
      </c>
      <c r="M73" s="17">
        <f t="shared" si="3"/>
        <v>-105.82000000000016</v>
      </c>
      <c r="N73" s="15">
        <f t="shared" si="4"/>
        <v>-3894.18</v>
      </c>
      <c r="O73" t="str">
        <f t="shared" si="5"/>
        <v>No</v>
      </c>
    </row>
    <row r="74" spans="1:15" x14ac:dyDescent="0.3">
      <c r="A74" s="2" t="s">
        <v>159</v>
      </c>
      <c r="B74" s="3">
        <v>45333</v>
      </c>
      <c r="C74" s="2" t="s">
        <v>127</v>
      </c>
      <c r="D74" s="2" t="s">
        <v>54</v>
      </c>
      <c r="E74" s="2" t="s">
        <v>55</v>
      </c>
      <c r="F74" s="2" t="s">
        <v>56</v>
      </c>
      <c r="G74" s="2" t="s">
        <v>57</v>
      </c>
      <c r="H74" s="2" t="s">
        <v>18</v>
      </c>
      <c r="I74" s="12">
        <v>50937.53</v>
      </c>
      <c r="J74" s="4">
        <v>0</v>
      </c>
      <c r="K74" s="2" t="s">
        <v>38</v>
      </c>
      <c r="L74" s="2" t="s">
        <v>20</v>
      </c>
      <c r="M74" s="17" t="str">
        <f t="shared" si="3"/>
        <v>0</v>
      </c>
      <c r="N74" s="15">
        <f t="shared" si="4"/>
        <v>50937.53</v>
      </c>
      <c r="O74" t="str">
        <f t="shared" si="5"/>
        <v>Yes</v>
      </c>
    </row>
    <row r="75" spans="1:15" x14ac:dyDescent="0.3">
      <c r="A75" s="5" t="s">
        <v>160</v>
      </c>
      <c r="B75" s="6">
        <v>45334</v>
      </c>
      <c r="C75" s="5" t="s">
        <v>127</v>
      </c>
      <c r="D75" s="5" t="s">
        <v>14</v>
      </c>
      <c r="E75" s="5" t="s">
        <v>44</v>
      </c>
      <c r="F75" s="5" t="s">
        <v>45</v>
      </c>
      <c r="G75" s="5" t="s">
        <v>46</v>
      </c>
      <c r="H75" s="5" t="s">
        <v>32</v>
      </c>
      <c r="I75" s="14">
        <v>15026.68</v>
      </c>
      <c r="J75" s="7">
        <v>15000</v>
      </c>
      <c r="K75" s="5" t="s">
        <v>47</v>
      </c>
      <c r="L75" s="5" t="s">
        <v>20</v>
      </c>
      <c r="M75" s="17">
        <f t="shared" si="3"/>
        <v>26.680000000000291</v>
      </c>
      <c r="N75" s="15">
        <f t="shared" si="4"/>
        <v>-15026.68</v>
      </c>
      <c r="O75" t="str">
        <f t="shared" si="5"/>
        <v>Yes</v>
      </c>
    </row>
    <row r="76" spans="1:15" x14ac:dyDescent="0.3">
      <c r="A76" s="2" t="s">
        <v>161</v>
      </c>
      <c r="B76" s="3">
        <v>45334</v>
      </c>
      <c r="C76" s="2" t="s">
        <v>127</v>
      </c>
      <c r="D76" s="2" t="s">
        <v>14</v>
      </c>
      <c r="E76" s="2" t="s">
        <v>49</v>
      </c>
      <c r="F76" s="2" t="s">
        <v>50</v>
      </c>
      <c r="G76" s="2" t="s">
        <v>51</v>
      </c>
      <c r="H76" s="2" t="s">
        <v>18</v>
      </c>
      <c r="I76" s="12">
        <v>2643.02</v>
      </c>
      <c r="J76" s="4">
        <v>3500</v>
      </c>
      <c r="K76" s="2" t="s">
        <v>47</v>
      </c>
      <c r="L76" s="2" t="s">
        <v>27</v>
      </c>
      <c r="M76" s="17">
        <f t="shared" si="3"/>
        <v>-856.98</v>
      </c>
      <c r="N76" s="15">
        <f t="shared" si="4"/>
        <v>-2643.02</v>
      </c>
      <c r="O76" t="str">
        <f t="shared" si="5"/>
        <v>No</v>
      </c>
    </row>
    <row r="77" spans="1:15" x14ac:dyDescent="0.3">
      <c r="A77" s="5" t="s">
        <v>162</v>
      </c>
      <c r="B77" s="6">
        <v>45335</v>
      </c>
      <c r="C77" s="5" t="s">
        <v>127</v>
      </c>
      <c r="D77" s="5" t="s">
        <v>14</v>
      </c>
      <c r="E77" s="5" t="s">
        <v>104</v>
      </c>
      <c r="F77" s="5" t="s">
        <v>163</v>
      </c>
      <c r="G77" s="5" t="s">
        <v>164</v>
      </c>
      <c r="H77" s="5" t="s">
        <v>25</v>
      </c>
      <c r="I77" s="14">
        <v>2518.8200000000002</v>
      </c>
      <c r="J77" s="7">
        <v>2000</v>
      </c>
      <c r="K77" s="5" t="s">
        <v>26</v>
      </c>
      <c r="L77" s="5" t="s">
        <v>27</v>
      </c>
      <c r="M77" s="17">
        <f t="shared" si="3"/>
        <v>518.82000000000016</v>
      </c>
      <c r="N77" s="15">
        <f t="shared" si="4"/>
        <v>-2518.8200000000002</v>
      </c>
      <c r="O77" t="str">
        <f t="shared" si="5"/>
        <v>Yes</v>
      </c>
    </row>
    <row r="78" spans="1:15" x14ac:dyDescent="0.3">
      <c r="A78" s="2" t="s">
        <v>165</v>
      </c>
      <c r="B78" s="3">
        <v>45335</v>
      </c>
      <c r="C78" s="2" t="s">
        <v>127</v>
      </c>
      <c r="D78" s="2" t="s">
        <v>14</v>
      </c>
      <c r="E78" s="2" t="s">
        <v>15</v>
      </c>
      <c r="F78" s="2" t="s">
        <v>60</v>
      </c>
      <c r="G78" s="2" t="s">
        <v>61</v>
      </c>
      <c r="H78" s="2" t="s">
        <v>37</v>
      </c>
      <c r="I78" s="12">
        <v>15256.81</v>
      </c>
      <c r="J78" s="4">
        <v>12000</v>
      </c>
      <c r="K78" s="2" t="s">
        <v>26</v>
      </c>
      <c r="L78" s="2" t="s">
        <v>20</v>
      </c>
      <c r="M78" s="17">
        <f t="shared" si="3"/>
        <v>3256.8099999999995</v>
      </c>
      <c r="N78" s="15">
        <f t="shared" si="4"/>
        <v>-15256.81</v>
      </c>
      <c r="O78" t="str">
        <f t="shared" si="5"/>
        <v>Yes</v>
      </c>
    </row>
    <row r="79" spans="1:15" x14ac:dyDescent="0.3">
      <c r="A79" s="5" t="s">
        <v>166</v>
      </c>
      <c r="B79" s="6">
        <v>45336</v>
      </c>
      <c r="C79" s="5" t="s">
        <v>127</v>
      </c>
      <c r="D79" s="5" t="s">
        <v>14</v>
      </c>
      <c r="E79" s="5" t="s">
        <v>34</v>
      </c>
      <c r="F79" s="5" t="s">
        <v>157</v>
      </c>
      <c r="G79" s="5" t="s">
        <v>158</v>
      </c>
      <c r="H79" s="5" t="s">
        <v>52</v>
      </c>
      <c r="I79" s="14">
        <v>3603.71</v>
      </c>
      <c r="J79" s="7">
        <v>4000</v>
      </c>
      <c r="K79" s="5" t="s">
        <v>47</v>
      </c>
      <c r="L79" s="5" t="s">
        <v>27</v>
      </c>
      <c r="M79" s="17">
        <f t="shared" si="3"/>
        <v>-396.28999999999996</v>
      </c>
      <c r="N79" s="15">
        <f t="shared" si="4"/>
        <v>-3603.71</v>
      </c>
      <c r="O79" t="str">
        <f t="shared" si="5"/>
        <v>No</v>
      </c>
    </row>
    <row r="80" spans="1:15" x14ac:dyDescent="0.3">
      <c r="A80" s="2" t="s">
        <v>167</v>
      </c>
      <c r="B80" s="3">
        <v>45336</v>
      </c>
      <c r="C80" s="2" t="s">
        <v>127</v>
      </c>
      <c r="D80" s="2" t="s">
        <v>14</v>
      </c>
      <c r="E80" s="2" t="s">
        <v>29</v>
      </c>
      <c r="F80" s="2" t="s">
        <v>80</v>
      </c>
      <c r="G80" s="2" t="s">
        <v>81</v>
      </c>
      <c r="H80" s="2" t="s">
        <v>52</v>
      </c>
      <c r="I80" s="12">
        <v>2762.31</v>
      </c>
      <c r="J80" s="4">
        <v>3000</v>
      </c>
      <c r="K80" s="2" t="s">
        <v>19</v>
      </c>
      <c r="L80" s="2" t="s">
        <v>20</v>
      </c>
      <c r="M80" s="17">
        <f t="shared" si="3"/>
        <v>-237.69000000000005</v>
      </c>
      <c r="N80" s="15">
        <f t="shared" si="4"/>
        <v>-2762.31</v>
      </c>
      <c r="O80" t="str">
        <f t="shared" si="5"/>
        <v>No</v>
      </c>
    </row>
    <row r="81" spans="1:15" x14ac:dyDescent="0.3">
      <c r="A81" s="5" t="s">
        <v>168</v>
      </c>
      <c r="B81" s="6">
        <v>45337</v>
      </c>
      <c r="C81" s="5" t="s">
        <v>127</v>
      </c>
      <c r="D81" s="5" t="s">
        <v>14</v>
      </c>
      <c r="E81" s="5" t="s">
        <v>104</v>
      </c>
      <c r="F81" s="5" t="s">
        <v>105</v>
      </c>
      <c r="G81" s="5" t="s">
        <v>106</v>
      </c>
      <c r="H81" s="5" t="s">
        <v>52</v>
      </c>
      <c r="I81" s="14">
        <v>1030.6500000000001</v>
      </c>
      <c r="J81" s="7">
        <v>2000</v>
      </c>
      <c r="K81" s="5" t="s">
        <v>26</v>
      </c>
      <c r="L81" s="5" t="s">
        <v>20</v>
      </c>
      <c r="M81" s="17">
        <f t="shared" si="3"/>
        <v>-969.34999999999991</v>
      </c>
      <c r="N81" s="15">
        <f t="shared" si="4"/>
        <v>-1030.6500000000001</v>
      </c>
      <c r="O81" t="str">
        <f t="shared" si="5"/>
        <v>No</v>
      </c>
    </row>
    <row r="82" spans="1:15" x14ac:dyDescent="0.3">
      <c r="A82" s="2" t="s">
        <v>169</v>
      </c>
      <c r="B82" s="3">
        <v>45337</v>
      </c>
      <c r="C82" s="2" t="s">
        <v>127</v>
      </c>
      <c r="D82" s="2" t="s">
        <v>14</v>
      </c>
      <c r="E82" s="2" t="s">
        <v>44</v>
      </c>
      <c r="F82" s="2" t="s">
        <v>45</v>
      </c>
      <c r="G82" s="2" t="s">
        <v>46</v>
      </c>
      <c r="H82" s="2" t="s">
        <v>32</v>
      </c>
      <c r="I82" s="12">
        <v>11445.98</v>
      </c>
      <c r="J82" s="4">
        <v>15000</v>
      </c>
      <c r="K82" s="2" t="s">
        <v>19</v>
      </c>
      <c r="L82" s="2" t="s">
        <v>20</v>
      </c>
      <c r="M82" s="17">
        <f t="shared" si="3"/>
        <v>-3554.0200000000004</v>
      </c>
      <c r="N82" s="15">
        <f t="shared" si="4"/>
        <v>-11445.98</v>
      </c>
      <c r="O82" t="str">
        <f t="shared" si="5"/>
        <v>No</v>
      </c>
    </row>
    <row r="83" spans="1:15" x14ac:dyDescent="0.3">
      <c r="A83" s="5" t="s">
        <v>170</v>
      </c>
      <c r="B83" s="6">
        <v>45337</v>
      </c>
      <c r="C83" s="5" t="s">
        <v>127</v>
      </c>
      <c r="D83" s="5" t="s">
        <v>14</v>
      </c>
      <c r="E83" s="5" t="s">
        <v>104</v>
      </c>
      <c r="F83" s="5" t="s">
        <v>105</v>
      </c>
      <c r="G83" s="5" t="s">
        <v>106</v>
      </c>
      <c r="H83" s="5" t="s">
        <v>37</v>
      </c>
      <c r="I83" s="14">
        <v>1293.02</v>
      </c>
      <c r="J83" s="7">
        <v>2000</v>
      </c>
      <c r="K83" s="5" t="s">
        <v>47</v>
      </c>
      <c r="L83" s="5" t="s">
        <v>27</v>
      </c>
      <c r="M83" s="17">
        <f t="shared" si="3"/>
        <v>-706.98</v>
      </c>
      <c r="N83" s="15">
        <f t="shared" si="4"/>
        <v>-1293.02</v>
      </c>
      <c r="O83" t="str">
        <f t="shared" si="5"/>
        <v>No</v>
      </c>
    </row>
    <row r="84" spans="1:15" x14ac:dyDescent="0.3">
      <c r="A84" s="2" t="s">
        <v>171</v>
      </c>
      <c r="B84" s="3">
        <v>45337</v>
      </c>
      <c r="C84" s="2" t="s">
        <v>127</v>
      </c>
      <c r="D84" s="2" t="s">
        <v>14</v>
      </c>
      <c r="E84" s="2" t="s">
        <v>112</v>
      </c>
      <c r="F84" s="2" t="s">
        <v>135</v>
      </c>
      <c r="G84" s="2" t="s">
        <v>136</v>
      </c>
      <c r="H84" s="2" t="s">
        <v>52</v>
      </c>
      <c r="I84" s="12">
        <v>6491.32</v>
      </c>
      <c r="J84" s="4">
        <v>8000</v>
      </c>
      <c r="K84" s="2" t="s">
        <v>47</v>
      </c>
      <c r="L84" s="2" t="s">
        <v>20</v>
      </c>
      <c r="M84" s="17">
        <f t="shared" si="3"/>
        <v>-1508.6800000000003</v>
      </c>
      <c r="N84" s="15">
        <f t="shared" si="4"/>
        <v>-6491.32</v>
      </c>
      <c r="O84" t="str">
        <f t="shared" si="5"/>
        <v>No</v>
      </c>
    </row>
    <row r="85" spans="1:15" x14ac:dyDescent="0.3">
      <c r="A85" s="5" t="s">
        <v>172</v>
      </c>
      <c r="B85" s="6">
        <v>45338</v>
      </c>
      <c r="C85" s="5" t="s">
        <v>127</v>
      </c>
      <c r="D85" s="5" t="s">
        <v>14</v>
      </c>
      <c r="E85" s="5" t="s">
        <v>40</v>
      </c>
      <c r="F85" s="5" t="s">
        <v>97</v>
      </c>
      <c r="G85" s="5" t="s">
        <v>98</v>
      </c>
      <c r="H85" s="5" t="s">
        <v>52</v>
      </c>
      <c r="I85" s="14">
        <v>4881.5600000000004</v>
      </c>
      <c r="J85" s="7">
        <v>6000</v>
      </c>
      <c r="K85" s="5" t="s">
        <v>19</v>
      </c>
      <c r="L85" s="5" t="s">
        <v>27</v>
      </c>
      <c r="M85" s="17">
        <f t="shared" si="3"/>
        <v>-1118.4399999999996</v>
      </c>
      <c r="N85" s="15">
        <f t="shared" si="4"/>
        <v>-4881.5600000000004</v>
      </c>
      <c r="O85" t="str">
        <f t="shared" si="5"/>
        <v>No</v>
      </c>
    </row>
    <row r="86" spans="1:15" x14ac:dyDescent="0.3">
      <c r="A86" s="2" t="s">
        <v>173</v>
      </c>
      <c r="B86" s="3">
        <v>45339</v>
      </c>
      <c r="C86" s="2" t="s">
        <v>127</v>
      </c>
      <c r="D86" s="2" t="s">
        <v>14</v>
      </c>
      <c r="E86" s="2" t="s">
        <v>44</v>
      </c>
      <c r="F86" s="2" t="s">
        <v>45</v>
      </c>
      <c r="G86" s="2" t="s">
        <v>46</v>
      </c>
      <c r="H86" s="2" t="s">
        <v>37</v>
      </c>
      <c r="I86" s="12">
        <v>10220.93</v>
      </c>
      <c r="J86" s="4">
        <v>15000</v>
      </c>
      <c r="K86" s="2" t="s">
        <v>38</v>
      </c>
      <c r="L86" s="2" t="s">
        <v>20</v>
      </c>
      <c r="M86" s="17">
        <f t="shared" si="3"/>
        <v>-4779.07</v>
      </c>
      <c r="N86" s="15">
        <f t="shared" si="4"/>
        <v>-10220.93</v>
      </c>
      <c r="O86" t="str">
        <f t="shared" si="5"/>
        <v>No</v>
      </c>
    </row>
    <row r="87" spans="1:15" x14ac:dyDescent="0.3">
      <c r="A87" s="5" t="s">
        <v>174</v>
      </c>
      <c r="B87" s="6">
        <v>45339</v>
      </c>
      <c r="C87" s="5" t="s">
        <v>127</v>
      </c>
      <c r="D87" s="5" t="s">
        <v>14</v>
      </c>
      <c r="E87" s="5" t="s">
        <v>49</v>
      </c>
      <c r="F87" s="5" t="s">
        <v>50</v>
      </c>
      <c r="G87" s="5" t="s">
        <v>51</v>
      </c>
      <c r="H87" s="5" t="s">
        <v>37</v>
      </c>
      <c r="I87" s="14">
        <v>2134.9</v>
      </c>
      <c r="J87" s="7">
        <v>3500</v>
      </c>
      <c r="K87" s="5" t="s">
        <v>38</v>
      </c>
      <c r="L87" s="5" t="s">
        <v>27</v>
      </c>
      <c r="M87" s="17">
        <f t="shared" si="3"/>
        <v>-1365.1</v>
      </c>
      <c r="N87" s="15">
        <f t="shared" si="4"/>
        <v>-2134.9</v>
      </c>
      <c r="O87" t="str">
        <f t="shared" si="5"/>
        <v>No</v>
      </c>
    </row>
    <row r="88" spans="1:15" x14ac:dyDescent="0.3">
      <c r="A88" s="2" t="s">
        <v>175</v>
      </c>
      <c r="B88" s="3">
        <v>45339</v>
      </c>
      <c r="C88" s="2" t="s">
        <v>127</v>
      </c>
      <c r="D88" s="2" t="s">
        <v>54</v>
      </c>
      <c r="E88" s="2" t="s">
        <v>87</v>
      </c>
      <c r="F88" s="2" t="s">
        <v>176</v>
      </c>
      <c r="G88" s="2" t="s">
        <v>177</v>
      </c>
      <c r="H88" s="2" t="s">
        <v>52</v>
      </c>
      <c r="I88" s="12">
        <v>12035.33</v>
      </c>
      <c r="J88" s="4">
        <v>0</v>
      </c>
      <c r="K88" s="2" t="s">
        <v>38</v>
      </c>
      <c r="L88" s="2" t="s">
        <v>27</v>
      </c>
      <c r="M88" s="17" t="str">
        <f t="shared" si="3"/>
        <v>0</v>
      </c>
      <c r="N88" s="15">
        <f t="shared" si="4"/>
        <v>12035.33</v>
      </c>
      <c r="O88" t="str">
        <f t="shared" si="5"/>
        <v>Yes</v>
      </c>
    </row>
    <row r="89" spans="1:15" x14ac:dyDescent="0.3">
      <c r="A89" s="5" t="s">
        <v>178</v>
      </c>
      <c r="B89" s="6">
        <v>45340</v>
      </c>
      <c r="C89" s="5" t="s">
        <v>127</v>
      </c>
      <c r="D89" s="5" t="s">
        <v>14</v>
      </c>
      <c r="E89" s="5" t="s">
        <v>29</v>
      </c>
      <c r="F89" s="5" t="s">
        <v>80</v>
      </c>
      <c r="G89" s="5" t="s">
        <v>81</v>
      </c>
      <c r="H89" s="5" t="s">
        <v>37</v>
      </c>
      <c r="I89" s="14">
        <v>3536.91</v>
      </c>
      <c r="J89" s="7">
        <v>3000</v>
      </c>
      <c r="K89" s="5" t="s">
        <v>26</v>
      </c>
      <c r="L89" s="5" t="s">
        <v>20</v>
      </c>
      <c r="M89" s="17">
        <f t="shared" si="3"/>
        <v>536.90999999999985</v>
      </c>
      <c r="N89" s="15">
        <f t="shared" si="4"/>
        <v>-3536.91</v>
      </c>
      <c r="O89" t="str">
        <f t="shared" si="5"/>
        <v>Yes</v>
      </c>
    </row>
    <row r="90" spans="1:15" x14ac:dyDescent="0.3">
      <c r="A90" s="2" t="s">
        <v>179</v>
      </c>
      <c r="B90" s="3">
        <v>45340</v>
      </c>
      <c r="C90" s="2" t="s">
        <v>127</v>
      </c>
      <c r="D90" s="2" t="s">
        <v>14</v>
      </c>
      <c r="E90" s="2" t="s">
        <v>49</v>
      </c>
      <c r="F90" s="2" t="s">
        <v>180</v>
      </c>
      <c r="G90" s="2" t="s">
        <v>181</v>
      </c>
      <c r="H90" s="2" t="s">
        <v>37</v>
      </c>
      <c r="I90" s="12">
        <v>4223.78</v>
      </c>
      <c r="J90" s="4">
        <v>3500</v>
      </c>
      <c r="K90" s="2" t="s">
        <v>26</v>
      </c>
      <c r="L90" s="2" t="s">
        <v>27</v>
      </c>
      <c r="M90" s="17">
        <f t="shared" si="3"/>
        <v>723.77999999999975</v>
      </c>
      <c r="N90" s="15">
        <f t="shared" si="4"/>
        <v>-4223.78</v>
      </c>
      <c r="O90" t="str">
        <f t="shared" si="5"/>
        <v>Yes</v>
      </c>
    </row>
    <row r="91" spans="1:15" x14ac:dyDescent="0.3">
      <c r="A91" s="5" t="s">
        <v>182</v>
      </c>
      <c r="B91" s="6">
        <v>45341</v>
      </c>
      <c r="C91" s="5" t="s">
        <v>127</v>
      </c>
      <c r="D91" s="5" t="s">
        <v>14</v>
      </c>
      <c r="E91" s="5" t="s">
        <v>104</v>
      </c>
      <c r="F91" s="5" t="s">
        <v>163</v>
      </c>
      <c r="G91" s="5" t="s">
        <v>164</v>
      </c>
      <c r="H91" s="5" t="s">
        <v>18</v>
      </c>
      <c r="I91" s="14">
        <v>2043.97</v>
      </c>
      <c r="J91" s="7">
        <v>2000</v>
      </c>
      <c r="K91" s="5" t="s">
        <v>38</v>
      </c>
      <c r="L91" s="5" t="s">
        <v>27</v>
      </c>
      <c r="M91" s="17">
        <f t="shared" si="3"/>
        <v>43.970000000000027</v>
      </c>
      <c r="N91" s="15">
        <f t="shared" si="4"/>
        <v>-2043.97</v>
      </c>
      <c r="O91" t="str">
        <f t="shared" si="5"/>
        <v>Yes</v>
      </c>
    </row>
    <row r="92" spans="1:15" x14ac:dyDescent="0.3">
      <c r="A92" s="2" t="s">
        <v>183</v>
      </c>
      <c r="B92" s="3">
        <v>45341</v>
      </c>
      <c r="C92" s="2" t="s">
        <v>127</v>
      </c>
      <c r="D92" s="2" t="s">
        <v>14</v>
      </c>
      <c r="E92" s="2" t="s">
        <v>104</v>
      </c>
      <c r="F92" s="2" t="s">
        <v>184</v>
      </c>
      <c r="G92" s="2" t="s">
        <v>185</v>
      </c>
      <c r="H92" s="2" t="s">
        <v>18</v>
      </c>
      <c r="I92" s="12">
        <v>1548.3</v>
      </c>
      <c r="J92" s="4">
        <v>2000</v>
      </c>
      <c r="K92" s="2" t="s">
        <v>47</v>
      </c>
      <c r="L92" s="2" t="s">
        <v>27</v>
      </c>
      <c r="M92" s="17">
        <f t="shared" si="3"/>
        <v>-451.70000000000005</v>
      </c>
      <c r="N92" s="15">
        <f t="shared" si="4"/>
        <v>-1548.3</v>
      </c>
      <c r="O92" t="str">
        <f t="shared" si="5"/>
        <v>No</v>
      </c>
    </row>
    <row r="93" spans="1:15" x14ac:dyDescent="0.3">
      <c r="A93" s="5" t="s">
        <v>186</v>
      </c>
      <c r="B93" s="6">
        <v>45341</v>
      </c>
      <c r="C93" s="5" t="s">
        <v>127</v>
      </c>
      <c r="D93" s="5" t="s">
        <v>14</v>
      </c>
      <c r="E93" s="5" t="s">
        <v>15</v>
      </c>
      <c r="F93" s="5" t="s">
        <v>83</v>
      </c>
      <c r="G93" s="5" t="s">
        <v>84</v>
      </c>
      <c r="H93" s="5" t="s">
        <v>18</v>
      </c>
      <c r="I93" s="14">
        <v>8708.41</v>
      </c>
      <c r="J93" s="7">
        <v>12000</v>
      </c>
      <c r="K93" s="5" t="s">
        <v>26</v>
      </c>
      <c r="L93" s="5" t="s">
        <v>20</v>
      </c>
      <c r="M93" s="17">
        <f t="shared" si="3"/>
        <v>-3291.59</v>
      </c>
      <c r="N93" s="15">
        <f t="shared" si="4"/>
        <v>-8708.41</v>
      </c>
      <c r="O93" t="str">
        <f t="shared" si="5"/>
        <v>No</v>
      </c>
    </row>
    <row r="94" spans="1:15" x14ac:dyDescent="0.3">
      <c r="A94" s="2" t="s">
        <v>187</v>
      </c>
      <c r="B94" s="3">
        <v>45341</v>
      </c>
      <c r="C94" s="2" t="s">
        <v>127</v>
      </c>
      <c r="D94" s="2" t="s">
        <v>54</v>
      </c>
      <c r="E94" s="2" t="s">
        <v>55</v>
      </c>
      <c r="F94" s="2" t="s">
        <v>56</v>
      </c>
      <c r="G94" s="2" t="s">
        <v>57</v>
      </c>
      <c r="H94" s="2" t="s">
        <v>52</v>
      </c>
      <c r="I94" s="12">
        <v>51539.45</v>
      </c>
      <c r="J94" s="4">
        <v>0</v>
      </c>
      <c r="K94" s="2" t="s">
        <v>19</v>
      </c>
      <c r="L94" s="2" t="s">
        <v>20</v>
      </c>
      <c r="M94" s="17" t="str">
        <f t="shared" si="3"/>
        <v>0</v>
      </c>
      <c r="N94" s="15">
        <f t="shared" si="4"/>
        <v>51539.45</v>
      </c>
      <c r="O94" t="str">
        <f t="shared" si="5"/>
        <v>Yes</v>
      </c>
    </row>
    <row r="95" spans="1:15" x14ac:dyDescent="0.3">
      <c r="A95" s="5" t="s">
        <v>188</v>
      </c>
      <c r="B95" s="6">
        <v>45342</v>
      </c>
      <c r="C95" s="5" t="s">
        <v>127</v>
      </c>
      <c r="D95" s="5" t="s">
        <v>14</v>
      </c>
      <c r="E95" s="5" t="s">
        <v>15</v>
      </c>
      <c r="F95" s="5" t="s">
        <v>16</v>
      </c>
      <c r="G95" s="5" t="s">
        <v>17</v>
      </c>
      <c r="H95" s="5" t="s">
        <v>32</v>
      </c>
      <c r="I95" s="14">
        <v>7902.37</v>
      </c>
      <c r="J95" s="7">
        <v>12000</v>
      </c>
      <c r="K95" s="5" t="s">
        <v>38</v>
      </c>
      <c r="L95" s="5" t="s">
        <v>20</v>
      </c>
      <c r="M95" s="17">
        <f t="shared" si="3"/>
        <v>-4097.63</v>
      </c>
      <c r="N95" s="15">
        <f t="shared" si="4"/>
        <v>-7902.37</v>
      </c>
      <c r="O95" t="str">
        <f t="shared" si="5"/>
        <v>No</v>
      </c>
    </row>
    <row r="96" spans="1:15" x14ac:dyDescent="0.3">
      <c r="A96" s="2" t="s">
        <v>189</v>
      </c>
      <c r="B96" s="3">
        <v>45342</v>
      </c>
      <c r="C96" s="2" t="s">
        <v>127</v>
      </c>
      <c r="D96" s="2" t="s">
        <v>14</v>
      </c>
      <c r="E96" s="2" t="s">
        <v>112</v>
      </c>
      <c r="F96" s="2" t="s">
        <v>135</v>
      </c>
      <c r="G96" s="2" t="s">
        <v>136</v>
      </c>
      <c r="H96" s="2" t="s">
        <v>18</v>
      </c>
      <c r="I96" s="12">
        <v>4156.0200000000004</v>
      </c>
      <c r="J96" s="4">
        <v>8000</v>
      </c>
      <c r="K96" s="2" t="s">
        <v>19</v>
      </c>
      <c r="L96" s="2" t="s">
        <v>20</v>
      </c>
      <c r="M96" s="17">
        <f t="shared" si="3"/>
        <v>-3843.9799999999996</v>
      </c>
      <c r="N96" s="15">
        <f t="shared" si="4"/>
        <v>-4156.0200000000004</v>
      </c>
      <c r="O96" t="str">
        <f t="shared" si="5"/>
        <v>No</v>
      </c>
    </row>
    <row r="97" spans="1:15" x14ac:dyDescent="0.3">
      <c r="A97" s="5" t="s">
        <v>190</v>
      </c>
      <c r="B97" s="6">
        <v>45342</v>
      </c>
      <c r="C97" s="5" t="s">
        <v>127</v>
      </c>
      <c r="D97" s="5" t="s">
        <v>14</v>
      </c>
      <c r="E97" s="5" t="s">
        <v>112</v>
      </c>
      <c r="F97" s="5" t="s">
        <v>113</v>
      </c>
      <c r="G97" s="5" t="s">
        <v>114</v>
      </c>
      <c r="H97" s="5" t="s">
        <v>18</v>
      </c>
      <c r="I97" s="14">
        <v>4906.07</v>
      </c>
      <c r="J97" s="7">
        <v>8000</v>
      </c>
      <c r="K97" s="5" t="s">
        <v>38</v>
      </c>
      <c r="L97" s="5" t="s">
        <v>20</v>
      </c>
      <c r="M97" s="17">
        <f t="shared" si="3"/>
        <v>-3093.9300000000003</v>
      </c>
      <c r="N97" s="15">
        <f t="shared" si="4"/>
        <v>-4906.07</v>
      </c>
      <c r="O97" t="str">
        <f t="shared" si="5"/>
        <v>No</v>
      </c>
    </row>
    <row r="98" spans="1:15" x14ac:dyDescent="0.3">
      <c r="A98" s="2" t="s">
        <v>191</v>
      </c>
      <c r="B98" s="3">
        <v>45342</v>
      </c>
      <c r="C98" s="2" t="s">
        <v>127</v>
      </c>
      <c r="D98" s="2" t="s">
        <v>14</v>
      </c>
      <c r="E98" s="2" t="s">
        <v>40</v>
      </c>
      <c r="F98" s="2" t="s">
        <v>97</v>
      </c>
      <c r="G98" s="2" t="s">
        <v>98</v>
      </c>
      <c r="H98" s="2" t="s">
        <v>52</v>
      </c>
      <c r="I98" s="12">
        <v>4517.96</v>
      </c>
      <c r="J98" s="4">
        <v>6000</v>
      </c>
      <c r="K98" s="2" t="s">
        <v>47</v>
      </c>
      <c r="L98" s="2" t="s">
        <v>20</v>
      </c>
      <c r="M98" s="17">
        <f t="shared" si="3"/>
        <v>-1482.04</v>
      </c>
      <c r="N98" s="15">
        <f t="shared" si="4"/>
        <v>-4517.96</v>
      </c>
      <c r="O98" t="str">
        <f t="shared" si="5"/>
        <v>No</v>
      </c>
    </row>
    <row r="99" spans="1:15" x14ac:dyDescent="0.3">
      <c r="A99" s="5" t="s">
        <v>192</v>
      </c>
      <c r="B99" s="6">
        <v>45344</v>
      </c>
      <c r="C99" s="5" t="s">
        <v>127</v>
      </c>
      <c r="D99" s="5" t="s">
        <v>14</v>
      </c>
      <c r="E99" s="5" t="s">
        <v>112</v>
      </c>
      <c r="F99" s="5" t="s">
        <v>193</v>
      </c>
      <c r="G99" s="5" t="s">
        <v>194</v>
      </c>
      <c r="H99" s="5" t="s">
        <v>52</v>
      </c>
      <c r="I99" s="14">
        <v>7722.89</v>
      </c>
      <c r="J99" s="7">
        <v>8000</v>
      </c>
      <c r="K99" s="5" t="s">
        <v>26</v>
      </c>
      <c r="L99" s="5" t="s">
        <v>20</v>
      </c>
      <c r="M99" s="17">
        <f t="shared" si="3"/>
        <v>-277.10999999999967</v>
      </c>
      <c r="N99" s="15">
        <f t="shared" si="4"/>
        <v>-7722.89</v>
      </c>
      <c r="O99" t="str">
        <f t="shared" si="5"/>
        <v>No</v>
      </c>
    </row>
    <row r="100" spans="1:15" x14ac:dyDescent="0.3">
      <c r="A100" s="2" t="s">
        <v>195</v>
      </c>
      <c r="B100" s="3">
        <v>45345</v>
      </c>
      <c r="C100" s="2" t="s">
        <v>127</v>
      </c>
      <c r="D100" s="2" t="s">
        <v>14</v>
      </c>
      <c r="E100" s="2" t="s">
        <v>44</v>
      </c>
      <c r="F100" s="2" t="s">
        <v>45</v>
      </c>
      <c r="G100" s="2" t="s">
        <v>46</v>
      </c>
      <c r="H100" s="2" t="s">
        <v>37</v>
      </c>
      <c r="I100" s="12">
        <v>17789.23</v>
      </c>
      <c r="J100" s="4">
        <v>15000</v>
      </c>
      <c r="K100" s="2" t="s">
        <v>38</v>
      </c>
      <c r="L100" s="2" t="s">
        <v>20</v>
      </c>
      <c r="M100" s="17">
        <f t="shared" si="3"/>
        <v>2789.2299999999996</v>
      </c>
      <c r="N100" s="15">
        <f t="shared" si="4"/>
        <v>-17789.23</v>
      </c>
      <c r="O100" t="str">
        <f t="shared" si="5"/>
        <v>Yes</v>
      </c>
    </row>
    <row r="101" spans="1:15" x14ac:dyDescent="0.3">
      <c r="A101" s="5" t="s">
        <v>196</v>
      </c>
      <c r="B101" s="6">
        <v>45345</v>
      </c>
      <c r="C101" s="5" t="s">
        <v>127</v>
      </c>
      <c r="D101" s="5" t="s">
        <v>14</v>
      </c>
      <c r="E101" s="5" t="s">
        <v>29</v>
      </c>
      <c r="F101" s="5" t="s">
        <v>80</v>
      </c>
      <c r="G101" s="5" t="s">
        <v>81</v>
      </c>
      <c r="H101" s="5" t="s">
        <v>18</v>
      </c>
      <c r="I101" s="14">
        <v>1679.38</v>
      </c>
      <c r="J101" s="7">
        <v>3000</v>
      </c>
      <c r="K101" s="5" t="s">
        <v>19</v>
      </c>
      <c r="L101" s="5" t="s">
        <v>20</v>
      </c>
      <c r="M101" s="17">
        <f t="shared" si="3"/>
        <v>-1320.62</v>
      </c>
      <c r="N101" s="15">
        <f t="shared" si="4"/>
        <v>-1679.38</v>
      </c>
      <c r="O101" t="str">
        <f t="shared" si="5"/>
        <v>No</v>
      </c>
    </row>
    <row r="102" spans="1:15" x14ac:dyDescent="0.3">
      <c r="A102" s="2" t="s">
        <v>197</v>
      </c>
      <c r="B102" s="3">
        <v>45347</v>
      </c>
      <c r="C102" s="2" t="s">
        <v>127</v>
      </c>
      <c r="D102" s="2" t="s">
        <v>14</v>
      </c>
      <c r="E102" s="2" t="s">
        <v>112</v>
      </c>
      <c r="F102" s="2" t="s">
        <v>113</v>
      </c>
      <c r="G102" s="2" t="s">
        <v>114</v>
      </c>
      <c r="H102" s="2" t="s">
        <v>37</v>
      </c>
      <c r="I102" s="12">
        <v>4291.17</v>
      </c>
      <c r="J102" s="4">
        <v>8000</v>
      </c>
      <c r="K102" s="2" t="s">
        <v>47</v>
      </c>
      <c r="L102" s="2" t="s">
        <v>20</v>
      </c>
      <c r="M102" s="17">
        <f t="shared" si="3"/>
        <v>-3708.83</v>
      </c>
      <c r="N102" s="15">
        <f t="shared" si="4"/>
        <v>-4291.17</v>
      </c>
      <c r="O102" t="str">
        <f t="shared" si="5"/>
        <v>No</v>
      </c>
    </row>
    <row r="103" spans="1:15" x14ac:dyDescent="0.3">
      <c r="A103" s="5" t="s">
        <v>198</v>
      </c>
      <c r="B103" s="6">
        <v>45349</v>
      </c>
      <c r="C103" s="5" t="s">
        <v>127</v>
      </c>
      <c r="D103" s="5" t="s">
        <v>14</v>
      </c>
      <c r="E103" s="5" t="s">
        <v>15</v>
      </c>
      <c r="F103" s="5" t="s">
        <v>60</v>
      </c>
      <c r="G103" s="5" t="s">
        <v>61</v>
      </c>
      <c r="H103" s="5" t="s">
        <v>18</v>
      </c>
      <c r="I103" s="14">
        <v>10120.549999999999</v>
      </c>
      <c r="J103" s="7">
        <v>12000</v>
      </c>
      <c r="K103" s="5" t="s">
        <v>26</v>
      </c>
      <c r="L103" s="5" t="s">
        <v>20</v>
      </c>
      <c r="M103" s="17">
        <f t="shared" si="3"/>
        <v>-1879.4500000000007</v>
      </c>
      <c r="N103" s="15">
        <f t="shared" si="4"/>
        <v>-10120.549999999999</v>
      </c>
      <c r="O103" t="str">
        <f t="shared" si="5"/>
        <v>No</v>
      </c>
    </row>
    <row r="104" spans="1:15" x14ac:dyDescent="0.3">
      <c r="A104" s="2" t="s">
        <v>199</v>
      </c>
      <c r="B104" s="3">
        <v>45349</v>
      </c>
      <c r="C104" s="2" t="s">
        <v>127</v>
      </c>
      <c r="D104" s="2" t="s">
        <v>14</v>
      </c>
      <c r="E104" s="2" t="s">
        <v>40</v>
      </c>
      <c r="F104" s="2" t="s">
        <v>97</v>
      </c>
      <c r="G104" s="2" t="s">
        <v>98</v>
      </c>
      <c r="H104" s="2" t="s">
        <v>37</v>
      </c>
      <c r="I104" s="12">
        <v>4832.72</v>
      </c>
      <c r="J104" s="4">
        <v>6000</v>
      </c>
      <c r="K104" s="2" t="s">
        <v>47</v>
      </c>
      <c r="L104" s="2" t="s">
        <v>27</v>
      </c>
      <c r="M104" s="17">
        <f t="shared" si="3"/>
        <v>-1167.2799999999997</v>
      </c>
      <c r="N104" s="15">
        <f t="shared" si="4"/>
        <v>-4832.72</v>
      </c>
      <c r="O104" t="str">
        <f t="shared" si="5"/>
        <v>No</v>
      </c>
    </row>
    <row r="105" spans="1:15" x14ac:dyDescent="0.3">
      <c r="A105" s="5" t="s">
        <v>200</v>
      </c>
      <c r="B105" s="6">
        <v>45351</v>
      </c>
      <c r="C105" s="5" t="s">
        <v>127</v>
      </c>
      <c r="D105" s="5" t="s">
        <v>14</v>
      </c>
      <c r="E105" s="5" t="s">
        <v>49</v>
      </c>
      <c r="F105" s="5" t="s">
        <v>77</v>
      </c>
      <c r="G105" s="5" t="s">
        <v>78</v>
      </c>
      <c r="H105" s="5" t="s">
        <v>37</v>
      </c>
      <c r="I105" s="14">
        <v>2884.75</v>
      </c>
      <c r="J105" s="7">
        <v>3500</v>
      </c>
      <c r="K105" s="5" t="s">
        <v>38</v>
      </c>
      <c r="L105" s="5" t="s">
        <v>27</v>
      </c>
      <c r="M105" s="17">
        <f t="shared" si="3"/>
        <v>-615.25</v>
      </c>
      <c r="N105" s="15">
        <f t="shared" si="4"/>
        <v>-2884.75</v>
      </c>
      <c r="O105" t="str">
        <f t="shared" si="5"/>
        <v>No</v>
      </c>
    </row>
    <row r="106" spans="1:15" x14ac:dyDescent="0.3">
      <c r="A106" s="2" t="s">
        <v>201</v>
      </c>
      <c r="B106" s="3">
        <v>45351</v>
      </c>
      <c r="C106" s="2" t="s">
        <v>127</v>
      </c>
      <c r="D106" s="2" t="s">
        <v>54</v>
      </c>
      <c r="E106" s="2" t="s">
        <v>55</v>
      </c>
      <c r="F106" s="2" t="s">
        <v>56</v>
      </c>
      <c r="G106" s="2" t="s">
        <v>57</v>
      </c>
      <c r="H106" s="2" t="s">
        <v>25</v>
      </c>
      <c r="I106" s="12">
        <v>41480.19</v>
      </c>
      <c r="J106" s="4">
        <v>0</v>
      </c>
      <c r="K106" s="2" t="s">
        <v>47</v>
      </c>
      <c r="L106" s="2" t="s">
        <v>20</v>
      </c>
      <c r="M106" s="17" t="str">
        <f t="shared" si="3"/>
        <v>0</v>
      </c>
      <c r="N106" s="15">
        <f t="shared" si="4"/>
        <v>41480.19</v>
      </c>
      <c r="O106" t="str">
        <f t="shared" si="5"/>
        <v>Yes</v>
      </c>
    </row>
    <row r="107" spans="1:15" x14ac:dyDescent="0.3">
      <c r="A107" s="5" t="s">
        <v>202</v>
      </c>
      <c r="B107" s="6">
        <v>45352</v>
      </c>
      <c r="C107" s="5" t="s">
        <v>203</v>
      </c>
      <c r="D107" s="5" t="s">
        <v>54</v>
      </c>
      <c r="E107" s="5" t="s">
        <v>55</v>
      </c>
      <c r="F107" s="5" t="s">
        <v>56</v>
      </c>
      <c r="G107" s="5" t="s">
        <v>57</v>
      </c>
      <c r="H107" s="5" t="s">
        <v>25</v>
      </c>
      <c r="I107" s="14">
        <v>45104.480000000003</v>
      </c>
      <c r="J107" s="7">
        <v>0</v>
      </c>
      <c r="K107" s="5" t="s">
        <v>26</v>
      </c>
      <c r="L107" s="5" t="s">
        <v>20</v>
      </c>
      <c r="M107" s="17" t="str">
        <f t="shared" si="3"/>
        <v>0</v>
      </c>
      <c r="N107" s="15">
        <f t="shared" si="4"/>
        <v>45104.480000000003</v>
      </c>
      <c r="O107" t="str">
        <f t="shared" si="5"/>
        <v>Yes</v>
      </c>
    </row>
    <row r="108" spans="1:15" x14ac:dyDescent="0.3">
      <c r="A108" s="2" t="s">
        <v>204</v>
      </c>
      <c r="B108" s="3">
        <v>45353</v>
      </c>
      <c r="C108" s="2" t="s">
        <v>203</v>
      </c>
      <c r="D108" s="2" t="s">
        <v>14</v>
      </c>
      <c r="E108" s="2" t="s">
        <v>15</v>
      </c>
      <c r="F108" s="2" t="s">
        <v>83</v>
      </c>
      <c r="G108" s="2" t="s">
        <v>84</v>
      </c>
      <c r="H108" s="2" t="s">
        <v>18</v>
      </c>
      <c r="I108" s="12">
        <v>15473.27</v>
      </c>
      <c r="J108" s="4">
        <v>12000</v>
      </c>
      <c r="K108" s="2" t="s">
        <v>47</v>
      </c>
      <c r="L108" s="2" t="s">
        <v>20</v>
      </c>
      <c r="M108" s="17">
        <f t="shared" si="3"/>
        <v>3473.2700000000004</v>
      </c>
      <c r="N108" s="15">
        <f t="shared" si="4"/>
        <v>-15473.27</v>
      </c>
      <c r="O108" t="str">
        <f t="shared" si="5"/>
        <v>Yes</v>
      </c>
    </row>
    <row r="109" spans="1:15" x14ac:dyDescent="0.3">
      <c r="A109" s="5" t="s">
        <v>205</v>
      </c>
      <c r="B109" s="6">
        <v>45355</v>
      </c>
      <c r="C109" s="5" t="s">
        <v>203</v>
      </c>
      <c r="D109" s="5" t="s">
        <v>14</v>
      </c>
      <c r="E109" s="5" t="s">
        <v>22</v>
      </c>
      <c r="F109" s="5" t="s">
        <v>66</v>
      </c>
      <c r="G109" s="5" t="s">
        <v>67</v>
      </c>
      <c r="H109" s="5" t="s">
        <v>37</v>
      </c>
      <c r="I109" s="14">
        <v>3055.6</v>
      </c>
      <c r="J109" s="7">
        <v>2500</v>
      </c>
      <c r="K109" s="5" t="s">
        <v>47</v>
      </c>
      <c r="L109" s="5" t="s">
        <v>27</v>
      </c>
      <c r="M109" s="17">
        <f t="shared" si="3"/>
        <v>555.59999999999991</v>
      </c>
      <c r="N109" s="15">
        <f t="shared" si="4"/>
        <v>-3055.6</v>
      </c>
      <c r="O109" t="str">
        <f t="shared" si="5"/>
        <v>Yes</v>
      </c>
    </row>
    <row r="110" spans="1:15" x14ac:dyDescent="0.3">
      <c r="A110" s="2" t="s">
        <v>206</v>
      </c>
      <c r="B110" s="3">
        <v>45356</v>
      </c>
      <c r="C110" s="2" t="s">
        <v>203</v>
      </c>
      <c r="D110" s="2" t="s">
        <v>54</v>
      </c>
      <c r="E110" s="2" t="s">
        <v>55</v>
      </c>
      <c r="F110" s="2" t="s">
        <v>56</v>
      </c>
      <c r="G110" s="2" t="s">
        <v>57</v>
      </c>
      <c r="H110" s="2" t="s">
        <v>52</v>
      </c>
      <c r="I110" s="12">
        <v>52211.22</v>
      </c>
      <c r="J110" s="4">
        <v>0</v>
      </c>
      <c r="K110" s="2" t="s">
        <v>26</v>
      </c>
      <c r="L110" s="2" t="s">
        <v>20</v>
      </c>
      <c r="M110" s="17" t="str">
        <f t="shared" si="3"/>
        <v>0</v>
      </c>
      <c r="N110" s="15">
        <f t="shared" si="4"/>
        <v>52211.22</v>
      </c>
      <c r="O110" t="str">
        <f t="shared" si="5"/>
        <v>Yes</v>
      </c>
    </row>
    <row r="111" spans="1:15" x14ac:dyDescent="0.3">
      <c r="A111" s="5" t="s">
        <v>207</v>
      </c>
      <c r="B111" s="6">
        <v>45356</v>
      </c>
      <c r="C111" s="5" t="s">
        <v>203</v>
      </c>
      <c r="D111" s="5" t="s">
        <v>14</v>
      </c>
      <c r="E111" s="5" t="s">
        <v>44</v>
      </c>
      <c r="F111" s="5" t="s">
        <v>45</v>
      </c>
      <c r="G111" s="5" t="s">
        <v>46</v>
      </c>
      <c r="H111" s="5" t="s">
        <v>18</v>
      </c>
      <c r="I111" s="14">
        <v>9480.25</v>
      </c>
      <c r="J111" s="7">
        <v>15000</v>
      </c>
      <c r="K111" s="5" t="s">
        <v>26</v>
      </c>
      <c r="L111" s="5" t="s">
        <v>20</v>
      </c>
      <c r="M111" s="17">
        <f t="shared" si="3"/>
        <v>-5519.75</v>
      </c>
      <c r="N111" s="15">
        <f t="shared" si="4"/>
        <v>-9480.25</v>
      </c>
      <c r="O111" t="str">
        <f t="shared" si="5"/>
        <v>No</v>
      </c>
    </row>
    <row r="112" spans="1:15" x14ac:dyDescent="0.3">
      <c r="A112" s="2" t="s">
        <v>208</v>
      </c>
      <c r="B112" s="3">
        <v>45356</v>
      </c>
      <c r="C112" s="2" t="s">
        <v>203</v>
      </c>
      <c r="D112" s="2" t="s">
        <v>54</v>
      </c>
      <c r="E112" s="2" t="s">
        <v>209</v>
      </c>
      <c r="F112" s="2" t="s">
        <v>210</v>
      </c>
      <c r="G112" s="2" t="s">
        <v>211</v>
      </c>
      <c r="H112" s="2" t="s">
        <v>32</v>
      </c>
      <c r="I112" s="12">
        <v>3461.11</v>
      </c>
      <c r="J112" s="4">
        <v>0</v>
      </c>
      <c r="K112" s="2" t="s">
        <v>47</v>
      </c>
      <c r="L112" s="2" t="s">
        <v>27</v>
      </c>
      <c r="M112" s="17" t="str">
        <f t="shared" si="3"/>
        <v>0</v>
      </c>
      <c r="N112" s="15">
        <f t="shared" si="4"/>
        <v>3461.11</v>
      </c>
      <c r="O112" t="str">
        <f t="shared" si="5"/>
        <v>Yes</v>
      </c>
    </row>
    <row r="113" spans="1:15" x14ac:dyDescent="0.3">
      <c r="A113" s="5" t="s">
        <v>212</v>
      </c>
      <c r="B113" s="6">
        <v>45357</v>
      </c>
      <c r="C113" s="5" t="s">
        <v>203</v>
      </c>
      <c r="D113" s="5" t="s">
        <v>14</v>
      </c>
      <c r="E113" s="5" t="s">
        <v>104</v>
      </c>
      <c r="F113" s="5" t="s">
        <v>105</v>
      </c>
      <c r="G113" s="5" t="s">
        <v>106</v>
      </c>
      <c r="H113" s="5" t="s">
        <v>52</v>
      </c>
      <c r="I113" s="14">
        <v>2438.5300000000002</v>
      </c>
      <c r="J113" s="7">
        <v>2000</v>
      </c>
      <c r="K113" s="5" t="s">
        <v>47</v>
      </c>
      <c r="L113" s="5" t="s">
        <v>27</v>
      </c>
      <c r="M113" s="17">
        <f t="shared" si="3"/>
        <v>438.5300000000002</v>
      </c>
      <c r="N113" s="15">
        <f t="shared" si="4"/>
        <v>-2438.5300000000002</v>
      </c>
      <c r="O113" t="str">
        <f t="shared" si="5"/>
        <v>Yes</v>
      </c>
    </row>
    <row r="114" spans="1:15" x14ac:dyDescent="0.3">
      <c r="A114" s="2" t="s">
        <v>213</v>
      </c>
      <c r="B114" s="3">
        <v>45357</v>
      </c>
      <c r="C114" s="2" t="s">
        <v>203</v>
      </c>
      <c r="D114" s="2" t="s">
        <v>14</v>
      </c>
      <c r="E114" s="2" t="s">
        <v>44</v>
      </c>
      <c r="F114" s="2" t="s">
        <v>45</v>
      </c>
      <c r="G114" s="2" t="s">
        <v>46</v>
      </c>
      <c r="H114" s="2" t="s">
        <v>37</v>
      </c>
      <c r="I114" s="12">
        <v>18760.18</v>
      </c>
      <c r="J114" s="4">
        <v>15000</v>
      </c>
      <c r="K114" s="2" t="s">
        <v>47</v>
      </c>
      <c r="L114" s="2" t="s">
        <v>20</v>
      </c>
      <c r="M114" s="17">
        <f t="shared" si="3"/>
        <v>3760.1800000000003</v>
      </c>
      <c r="N114" s="15">
        <f t="shared" si="4"/>
        <v>-18760.18</v>
      </c>
      <c r="O114" t="str">
        <f t="shared" si="5"/>
        <v>Yes</v>
      </c>
    </row>
    <row r="115" spans="1:15" x14ac:dyDescent="0.3">
      <c r="A115" s="5" t="s">
        <v>214</v>
      </c>
      <c r="B115" s="6">
        <v>45360</v>
      </c>
      <c r="C115" s="5" t="s">
        <v>203</v>
      </c>
      <c r="D115" s="5" t="s">
        <v>14</v>
      </c>
      <c r="E115" s="5" t="s">
        <v>72</v>
      </c>
      <c r="F115" s="5" t="s">
        <v>132</v>
      </c>
      <c r="G115" s="5" t="s">
        <v>133</v>
      </c>
      <c r="H115" s="5" t="s">
        <v>32</v>
      </c>
      <c r="I115" s="14">
        <v>1884.67</v>
      </c>
      <c r="J115" s="7">
        <v>2000</v>
      </c>
      <c r="K115" s="5" t="s">
        <v>26</v>
      </c>
      <c r="L115" s="5" t="s">
        <v>27</v>
      </c>
      <c r="M115" s="17">
        <f t="shared" si="3"/>
        <v>-115.32999999999993</v>
      </c>
      <c r="N115" s="15">
        <f t="shared" si="4"/>
        <v>-1884.67</v>
      </c>
      <c r="O115" t="str">
        <f t="shared" si="5"/>
        <v>No</v>
      </c>
    </row>
    <row r="116" spans="1:15" x14ac:dyDescent="0.3">
      <c r="A116" s="2" t="s">
        <v>215</v>
      </c>
      <c r="B116" s="3">
        <v>45361</v>
      </c>
      <c r="C116" s="2" t="s">
        <v>203</v>
      </c>
      <c r="D116" s="2" t="s">
        <v>14</v>
      </c>
      <c r="E116" s="2" t="s">
        <v>44</v>
      </c>
      <c r="F116" s="2" t="s">
        <v>45</v>
      </c>
      <c r="G116" s="2" t="s">
        <v>46</v>
      </c>
      <c r="H116" s="2" t="s">
        <v>37</v>
      </c>
      <c r="I116" s="12">
        <v>11580.81</v>
      </c>
      <c r="J116" s="4">
        <v>15000</v>
      </c>
      <c r="K116" s="2" t="s">
        <v>47</v>
      </c>
      <c r="L116" s="2" t="s">
        <v>20</v>
      </c>
      <c r="M116" s="17">
        <f t="shared" si="3"/>
        <v>-3419.1900000000005</v>
      </c>
      <c r="N116" s="15">
        <f t="shared" si="4"/>
        <v>-11580.81</v>
      </c>
      <c r="O116" t="str">
        <f t="shared" si="5"/>
        <v>No</v>
      </c>
    </row>
    <row r="117" spans="1:15" x14ac:dyDescent="0.3">
      <c r="A117" s="5" t="s">
        <v>216</v>
      </c>
      <c r="B117" s="6">
        <v>45361</v>
      </c>
      <c r="C117" s="5" t="s">
        <v>203</v>
      </c>
      <c r="D117" s="5" t="s">
        <v>54</v>
      </c>
      <c r="E117" s="5" t="s">
        <v>87</v>
      </c>
      <c r="F117" s="5" t="s">
        <v>88</v>
      </c>
      <c r="G117" s="5" t="s">
        <v>89</v>
      </c>
      <c r="H117" s="5" t="s">
        <v>18</v>
      </c>
      <c r="I117" s="14">
        <v>6868.68</v>
      </c>
      <c r="J117" s="7">
        <v>0</v>
      </c>
      <c r="K117" s="5" t="s">
        <v>38</v>
      </c>
      <c r="L117" s="5" t="s">
        <v>27</v>
      </c>
      <c r="M117" s="17" t="str">
        <f t="shared" si="3"/>
        <v>0</v>
      </c>
      <c r="N117" s="15">
        <f t="shared" si="4"/>
        <v>6868.68</v>
      </c>
      <c r="O117" t="str">
        <f t="shared" si="5"/>
        <v>Yes</v>
      </c>
    </row>
    <row r="118" spans="1:15" x14ac:dyDescent="0.3">
      <c r="A118" s="2" t="s">
        <v>217</v>
      </c>
      <c r="B118" s="3">
        <v>45362</v>
      </c>
      <c r="C118" s="2" t="s">
        <v>203</v>
      </c>
      <c r="D118" s="2" t="s">
        <v>14</v>
      </c>
      <c r="E118" s="2" t="s">
        <v>15</v>
      </c>
      <c r="F118" s="2" t="s">
        <v>83</v>
      </c>
      <c r="G118" s="2" t="s">
        <v>84</v>
      </c>
      <c r="H118" s="2" t="s">
        <v>18</v>
      </c>
      <c r="I118" s="12">
        <v>14343.51</v>
      </c>
      <c r="J118" s="4">
        <v>12000</v>
      </c>
      <c r="K118" s="2" t="s">
        <v>47</v>
      </c>
      <c r="L118" s="2" t="s">
        <v>20</v>
      </c>
      <c r="M118" s="17">
        <f t="shared" si="3"/>
        <v>2343.5100000000002</v>
      </c>
      <c r="N118" s="15">
        <f t="shared" si="4"/>
        <v>-14343.51</v>
      </c>
      <c r="O118" t="str">
        <f t="shared" si="5"/>
        <v>Yes</v>
      </c>
    </row>
    <row r="119" spans="1:15" x14ac:dyDescent="0.3">
      <c r="A119" s="5" t="s">
        <v>218</v>
      </c>
      <c r="B119" s="6">
        <v>45362</v>
      </c>
      <c r="C119" s="5" t="s">
        <v>203</v>
      </c>
      <c r="D119" s="5" t="s">
        <v>54</v>
      </c>
      <c r="E119" s="5" t="s">
        <v>55</v>
      </c>
      <c r="F119" s="5" t="s">
        <v>56</v>
      </c>
      <c r="G119" s="5" t="s">
        <v>57</v>
      </c>
      <c r="H119" s="5" t="s">
        <v>18</v>
      </c>
      <c r="I119" s="14">
        <v>54831.07</v>
      </c>
      <c r="J119" s="7">
        <v>0</v>
      </c>
      <c r="K119" s="5" t="s">
        <v>19</v>
      </c>
      <c r="L119" s="5" t="s">
        <v>20</v>
      </c>
      <c r="M119" s="17" t="str">
        <f t="shared" si="3"/>
        <v>0</v>
      </c>
      <c r="N119" s="15">
        <f t="shared" si="4"/>
        <v>54831.07</v>
      </c>
      <c r="O119" t="str">
        <f t="shared" si="5"/>
        <v>Yes</v>
      </c>
    </row>
    <row r="120" spans="1:15" x14ac:dyDescent="0.3">
      <c r="A120" s="2" t="s">
        <v>219</v>
      </c>
      <c r="B120" s="3">
        <v>45362</v>
      </c>
      <c r="C120" s="2" t="s">
        <v>203</v>
      </c>
      <c r="D120" s="2" t="s">
        <v>54</v>
      </c>
      <c r="E120" s="2" t="s">
        <v>209</v>
      </c>
      <c r="F120" s="2" t="s">
        <v>210</v>
      </c>
      <c r="G120" s="2" t="s">
        <v>211</v>
      </c>
      <c r="H120" s="2" t="s">
        <v>25</v>
      </c>
      <c r="I120" s="12">
        <v>3681.61</v>
      </c>
      <c r="J120" s="4">
        <v>0</v>
      </c>
      <c r="K120" s="2" t="s">
        <v>38</v>
      </c>
      <c r="L120" s="2" t="s">
        <v>27</v>
      </c>
      <c r="M120" s="17" t="str">
        <f t="shared" si="3"/>
        <v>0</v>
      </c>
      <c r="N120" s="15">
        <f t="shared" si="4"/>
        <v>3681.61</v>
      </c>
      <c r="O120" t="str">
        <f t="shared" si="5"/>
        <v>Yes</v>
      </c>
    </row>
    <row r="121" spans="1:15" x14ac:dyDescent="0.3">
      <c r="A121" s="5" t="s">
        <v>220</v>
      </c>
      <c r="B121" s="6">
        <v>45362</v>
      </c>
      <c r="C121" s="5" t="s">
        <v>203</v>
      </c>
      <c r="D121" s="5" t="s">
        <v>14</v>
      </c>
      <c r="E121" s="5" t="s">
        <v>112</v>
      </c>
      <c r="F121" s="5" t="s">
        <v>113</v>
      </c>
      <c r="G121" s="5" t="s">
        <v>114</v>
      </c>
      <c r="H121" s="5" t="s">
        <v>25</v>
      </c>
      <c r="I121" s="14">
        <v>5246.06</v>
      </c>
      <c r="J121" s="7">
        <v>8000</v>
      </c>
      <c r="K121" s="5" t="s">
        <v>19</v>
      </c>
      <c r="L121" s="5" t="s">
        <v>20</v>
      </c>
      <c r="M121" s="17">
        <f t="shared" si="3"/>
        <v>-2753.9399999999996</v>
      </c>
      <c r="N121" s="15">
        <f t="shared" si="4"/>
        <v>-5246.06</v>
      </c>
      <c r="O121" t="str">
        <f t="shared" si="5"/>
        <v>No</v>
      </c>
    </row>
    <row r="122" spans="1:15" x14ac:dyDescent="0.3">
      <c r="A122" s="2" t="s">
        <v>221</v>
      </c>
      <c r="B122" s="3">
        <v>45363</v>
      </c>
      <c r="C122" s="2" t="s">
        <v>203</v>
      </c>
      <c r="D122" s="2" t="s">
        <v>14</v>
      </c>
      <c r="E122" s="2" t="s">
        <v>15</v>
      </c>
      <c r="F122" s="2" t="s">
        <v>16</v>
      </c>
      <c r="G122" s="2" t="s">
        <v>17</v>
      </c>
      <c r="H122" s="2" t="s">
        <v>18</v>
      </c>
      <c r="I122" s="12">
        <v>12763.72</v>
      </c>
      <c r="J122" s="4">
        <v>12000</v>
      </c>
      <c r="K122" s="2" t="s">
        <v>47</v>
      </c>
      <c r="L122" s="2" t="s">
        <v>20</v>
      </c>
      <c r="M122" s="17">
        <f t="shared" si="3"/>
        <v>763.71999999999935</v>
      </c>
      <c r="N122" s="15">
        <f t="shared" si="4"/>
        <v>-12763.72</v>
      </c>
      <c r="O122" t="str">
        <f t="shared" si="5"/>
        <v>Yes</v>
      </c>
    </row>
    <row r="123" spans="1:15" x14ac:dyDescent="0.3">
      <c r="A123" s="5" t="s">
        <v>222</v>
      </c>
      <c r="B123" s="6">
        <v>45364</v>
      </c>
      <c r="C123" s="5" t="s">
        <v>203</v>
      </c>
      <c r="D123" s="5" t="s">
        <v>54</v>
      </c>
      <c r="E123" s="5" t="s">
        <v>55</v>
      </c>
      <c r="F123" s="5" t="s">
        <v>56</v>
      </c>
      <c r="G123" s="5" t="s">
        <v>57</v>
      </c>
      <c r="H123" s="5" t="s">
        <v>37</v>
      </c>
      <c r="I123" s="14">
        <v>54226.42</v>
      </c>
      <c r="J123" s="7">
        <v>0</v>
      </c>
      <c r="K123" s="5" t="s">
        <v>19</v>
      </c>
      <c r="L123" s="5" t="s">
        <v>20</v>
      </c>
      <c r="M123" s="17" t="str">
        <f t="shared" si="3"/>
        <v>0</v>
      </c>
      <c r="N123" s="15">
        <f t="shared" si="4"/>
        <v>54226.42</v>
      </c>
      <c r="O123" t="str">
        <f t="shared" si="5"/>
        <v>Yes</v>
      </c>
    </row>
    <row r="124" spans="1:15" x14ac:dyDescent="0.3">
      <c r="A124" s="2" t="s">
        <v>223</v>
      </c>
      <c r="B124" s="3">
        <v>45364</v>
      </c>
      <c r="C124" s="2" t="s">
        <v>203</v>
      </c>
      <c r="D124" s="2" t="s">
        <v>14</v>
      </c>
      <c r="E124" s="2" t="s">
        <v>15</v>
      </c>
      <c r="F124" s="2" t="s">
        <v>60</v>
      </c>
      <c r="G124" s="2" t="s">
        <v>61</v>
      </c>
      <c r="H124" s="2" t="s">
        <v>37</v>
      </c>
      <c r="I124" s="12">
        <v>11976.31</v>
      </c>
      <c r="J124" s="4">
        <v>12000</v>
      </c>
      <c r="K124" s="2" t="s">
        <v>26</v>
      </c>
      <c r="L124" s="2" t="s">
        <v>20</v>
      </c>
      <c r="M124" s="17">
        <f t="shared" si="3"/>
        <v>-23.690000000000509</v>
      </c>
      <c r="N124" s="15">
        <f t="shared" si="4"/>
        <v>-11976.31</v>
      </c>
      <c r="O124" t="str">
        <f t="shared" si="5"/>
        <v>No</v>
      </c>
    </row>
    <row r="125" spans="1:15" x14ac:dyDescent="0.3">
      <c r="A125" s="5" t="s">
        <v>224</v>
      </c>
      <c r="B125" s="6">
        <v>45364</v>
      </c>
      <c r="C125" s="5" t="s">
        <v>203</v>
      </c>
      <c r="D125" s="5" t="s">
        <v>14</v>
      </c>
      <c r="E125" s="5" t="s">
        <v>29</v>
      </c>
      <c r="F125" s="5" t="s">
        <v>80</v>
      </c>
      <c r="G125" s="5" t="s">
        <v>81</v>
      </c>
      <c r="H125" s="5" t="s">
        <v>32</v>
      </c>
      <c r="I125" s="14">
        <v>3253.44</v>
      </c>
      <c r="J125" s="7">
        <v>3000</v>
      </c>
      <c r="K125" s="5" t="s">
        <v>47</v>
      </c>
      <c r="L125" s="5" t="s">
        <v>20</v>
      </c>
      <c r="M125" s="17">
        <f t="shared" si="3"/>
        <v>253.44000000000005</v>
      </c>
      <c r="N125" s="15">
        <f t="shared" si="4"/>
        <v>-3253.44</v>
      </c>
      <c r="O125" t="str">
        <f t="shared" si="5"/>
        <v>Yes</v>
      </c>
    </row>
    <row r="126" spans="1:15" x14ac:dyDescent="0.3">
      <c r="A126" s="2" t="s">
        <v>225</v>
      </c>
      <c r="B126" s="3">
        <v>45364</v>
      </c>
      <c r="C126" s="2" t="s">
        <v>203</v>
      </c>
      <c r="D126" s="2" t="s">
        <v>14</v>
      </c>
      <c r="E126" s="2" t="s">
        <v>44</v>
      </c>
      <c r="F126" s="2" t="s">
        <v>45</v>
      </c>
      <c r="G126" s="2" t="s">
        <v>46</v>
      </c>
      <c r="H126" s="2" t="s">
        <v>52</v>
      </c>
      <c r="I126" s="12">
        <v>17968.97</v>
      </c>
      <c r="J126" s="4">
        <v>15000</v>
      </c>
      <c r="K126" s="2" t="s">
        <v>26</v>
      </c>
      <c r="L126" s="2" t="s">
        <v>20</v>
      </c>
      <c r="M126" s="17">
        <f t="shared" si="3"/>
        <v>2968.9700000000012</v>
      </c>
      <c r="N126" s="15">
        <f t="shared" si="4"/>
        <v>-17968.97</v>
      </c>
      <c r="O126" t="str">
        <f t="shared" si="5"/>
        <v>Yes</v>
      </c>
    </row>
    <row r="127" spans="1:15" x14ac:dyDescent="0.3">
      <c r="A127" s="5" t="s">
        <v>226</v>
      </c>
      <c r="B127" s="6">
        <v>45365</v>
      </c>
      <c r="C127" s="5" t="s">
        <v>203</v>
      </c>
      <c r="D127" s="5" t="s">
        <v>14</v>
      </c>
      <c r="E127" s="5" t="s">
        <v>112</v>
      </c>
      <c r="F127" s="5" t="s">
        <v>135</v>
      </c>
      <c r="G127" s="5" t="s">
        <v>136</v>
      </c>
      <c r="H127" s="5" t="s">
        <v>37</v>
      </c>
      <c r="I127" s="14">
        <v>6637.8</v>
      </c>
      <c r="J127" s="7">
        <v>8000</v>
      </c>
      <c r="K127" s="5" t="s">
        <v>47</v>
      </c>
      <c r="L127" s="5" t="s">
        <v>20</v>
      </c>
      <c r="M127" s="17">
        <f t="shared" si="3"/>
        <v>-1362.1999999999998</v>
      </c>
      <c r="N127" s="15">
        <f t="shared" si="4"/>
        <v>-6637.8</v>
      </c>
      <c r="O127" t="str">
        <f t="shared" si="5"/>
        <v>No</v>
      </c>
    </row>
    <row r="128" spans="1:15" x14ac:dyDescent="0.3">
      <c r="A128" s="2" t="s">
        <v>227</v>
      </c>
      <c r="B128" s="3">
        <v>45366</v>
      </c>
      <c r="C128" s="2" t="s">
        <v>203</v>
      </c>
      <c r="D128" s="2" t="s">
        <v>14</v>
      </c>
      <c r="E128" s="2" t="s">
        <v>112</v>
      </c>
      <c r="F128" s="2" t="s">
        <v>193</v>
      </c>
      <c r="G128" s="2" t="s">
        <v>194</v>
      </c>
      <c r="H128" s="2" t="s">
        <v>25</v>
      </c>
      <c r="I128" s="12">
        <v>4992.66</v>
      </c>
      <c r="J128" s="4">
        <v>8000</v>
      </c>
      <c r="K128" s="2" t="s">
        <v>38</v>
      </c>
      <c r="L128" s="2" t="s">
        <v>20</v>
      </c>
      <c r="M128" s="17">
        <f t="shared" si="3"/>
        <v>-3007.34</v>
      </c>
      <c r="N128" s="15">
        <f t="shared" si="4"/>
        <v>-4992.66</v>
      </c>
      <c r="O128" t="str">
        <f t="shared" si="5"/>
        <v>No</v>
      </c>
    </row>
    <row r="129" spans="1:15" x14ac:dyDescent="0.3">
      <c r="A129" s="5" t="s">
        <v>228</v>
      </c>
      <c r="B129" s="6">
        <v>45366</v>
      </c>
      <c r="C129" s="5" t="s">
        <v>203</v>
      </c>
      <c r="D129" s="5" t="s">
        <v>14</v>
      </c>
      <c r="E129" s="5" t="s">
        <v>15</v>
      </c>
      <c r="F129" s="5" t="s">
        <v>60</v>
      </c>
      <c r="G129" s="5" t="s">
        <v>61</v>
      </c>
      <c r="H129" s="5" t="s">
        <v>18</v>
      </c>
      <c r="I129" s="14">
        <v>13932.17</v>
      </c>
      <c r="J129" s="7">
        <v>12000</v>
      </c>
      <c r="K129" s="5" t="s">
        <v>26</v>
      </c>
      <c r="L129" s="5" t="s">
        <v>20</v>
      </c>
      <c r="M129" s="17">
        <f t="shared" si="3"/>
        <v>1932.17</v>
      </c>
      <c r="N129" s="15">
        <f t="shared" si="4"/>
        <v>-13932.17</v>
      </c>
      <c r="O129" t="str">
        <f t="shared" si="5"/>
        <v>Yes</v>
      </c>
    </row>
    <row r="130" spans="1:15" x14ac:dyDescent="0.3">
      <c r="A130" s="2" t="s">
        <v>229</v>
      </c>
      <c r="B130" s="3">
        <v>45366</v>
      </c>
      <c r="C130" s="2" t="s">
        <v>203</v>
      </c>
      <c r="D130" s="2" t="s">
        <v>14</v>
      </c>
      <c r="E130" s="2" t="s">
        <v>112</v>
      </c>
      <c r="F130" s="2" t="s">
        <v>193</v>
      </c>
      <c r="G130" s="2" t="s">
        <v>194</v>
      </c>
      <c r="H130" s="2" t="s">
        <v>37</v>
      </c>
      <c r="I130" s="12">
        <v>5961.53</v>
      </c>
      <c r="J130" s="4">
        <v>8000</v>
      </c>
      <c r="K130" s="2" t="s">
        <v>47</v>
      </c>
      <c r="L130" s="2" t="s">
        <v>20</v>
      </c>
      <c r="M130" s="17">
        <f t="shared" si="3"/>
        <v>-2038.4700000000003</v>
      </c>
      <c r="N130" s="15">
        <f t="shared" si="4"/>
        <v>-5961.53</v>
      </c>
      <c r="O130" t="str">
        <f t="shared" si="5"/>
        <v>No</v>
      </c>
    </row>
    <row r="131" spans="1:15" x14ac:dyDescent="0.3">
      <c r="A131" s="5" t="s">
        <v>230</v>
      </c>
      <c r="B131" s="6">
        <v>45366</v>
      </c>
      <c r="C131" s="5" t="s">
        <v>203</v>
      </c>
      <c r="D131" s="5" t="s">
        <v>14</v>
      </c>
      <c r="E131" s="5" t="s">
        <v>112</v>
      </c>
      <c r="F131" s="5" t="s">
        <v>193</v>
      </c>
      <c r="G131" s="5" t="s">
        <v>194</v>
      </c>
      <c r="H131" s="5" t="s">
        <v>32</v>
      </c>
      <c r="I131" s="14">
        <v>4751.97</v>
      </c>
      <c r="J131" s="7">
        <v>8000</v>
      </c>
      <c r="K131" s="5" t="s">
        <v>38</v>
      </c>
      <c r="L131" s="5" t="s">
        <v>20</v>
      </c>
      <c r="M131" s="17">
        <f t="shared" ref="M131:M194" si="6">IF(J131=0,"0",I131-J131)</f>
        <v>-3248.0299999999997</v>
      </c>
      <c r="N131" s="15">
        <f t="shared" ref="N131:N194" si="7">IF(D131="Income",I131,-I131)</f>
        <v>-4751.97</v>
      </c>
      <c r="O131" t="str">
        <f t="shared" ref="O131:O194" si="8">IF(M131&gt;0,"Yes","No")</f>
        <v>No</v>
      </c>
    </row>
    <row r="132" spans="1:15" x14ac:dyDescent="0.3">
      <c r="A132" s="2" t="s">
        <v>231</v>
      </c>
      <c r="B132" s="3">
        <v>45367</v>
      </c>
      <c r="C132" s="2" t="s">
        <v>203</v>
      </c>
      <c r="D132" s="2" t="s">
        <v>14</v>
      </c>
      <c r="E132" s="2" t="s">
        <v>112</v>
      </c>
      <c r="F132" s="2" t="s">
        <v>135</v>
      </c>
      <c r="G132" s="2" t="s">
        <v>136</v>
      </c>
      <c r="H132" s="2" t="s">
        <v>25</v>
      </c>
      <c r="I132" s="12">
        <v>10205.51</v>
      </c>
      <c r="J132" s="4">
        <v>8000</v>
      </c>
      <c r="K132" s="2" t="s">
        <v>38</v>
      </c>
      <c r="L132" s="2" t="s">
        <v>20</v>
      </c>
      <c r="M132" s="17">
        <f t="shared" si="6"/>
        <v>2205.5100000000002</v>
      </c>
      <c r="N132" s="15">
        <f t="shared" si="7"/>
        <v>-10205.51</v>
      </c>
      <c r="O132" t="str">
        <f t="shared" si="8"/>
        <v>Yes</v>
      </c>
    </row>
    <row r="133" spans="1:15" x14ac:dyDescent="0.3">
      <c r="A133" s="5" t="s">
        <v>232</v>
      </c>
      <c r="B133" s="6">
        <v>45367</v>
      </c>
      <c r="C133" s="5" t="s">
        <v>203</v>
      </c>
      <c r="D133" s="5" t="s">
        <v>14</v>
      </c>
      <c r="E133" s="5" t="s">
        <v>34</v>
      </c>
      <c r="F133" s="5" t="s">
        <v>35</v>
      </c>
      <c r="G133" s="5" t="s">
        <v>36</v>
      </c>
      <c r="H133" s="5" t="s">
        <v>18</v>
      </c>
      <c r="I133" s="14">
        <v>4344.62</v>
      </c>
      <c r="J133" s="7">
        <v>4000</v>
      </c>
      <c r="K133" s="5" t="s">
        <v>47</v>
      </c>
      <c r="L133" s="5" t="s">
        <v>27</v>
      </c>
      <c r="M133" s="17">
        <f t="shared" si="6"/>
        <v>344.61999999999989</v>
      </c>
      <c r="N133" s="15">
        <f t="shared" si="7"/>
        <v>-4344.62</v>
      </c>
      <c r="O133" t="str">
        <f t="shared" si="8"/>
        <v>Yes</v>
      </c>
    </row>
    <row r="134" spans="1:15" x14ac:dyDescent="0.3">
      <c r="A134" s="2" t="s">
        <v>233</v>
      </c>
      <c r="B134" s="3">
        <v>45367</v>
      </c>
      <c r="C134" s="2" t="s">
        <v>203</v>
      </c>
      <c r="D134" s="2" t="s">
        <v>14</v>
      </c>
      <c r="E134" s="2" t="s">
        <v>44</v>
      </c>
      <c r="F134" s="2" t="s">
        <v>45</v>
      </c>
      <c r="G134" s="2" t="s">
        <v>46</v>
      </c>
      <c r="H134" s="2" t="s">
        <v>37</v>
      </c>
      <c r="I134" s="12">
        <v>8665.57</v>
      </c>
      <c r="J134" s="4">
        <v>15000</v>
      </c>
      <c r="K134" s="2" t="s">
        <v>47</v>
      </c>
      <c r="L134" s="2" t="s">
        <v>20</v>
      </c>
      <c r="M134" s="17">
        <f t="shared" si="6"/>
        <v>-6334.43</v>
      </c>
      <c r="N134" s="15">
        <f t="shared" si="7"/>
        <v>-8665.57</v>
      </c>
      <c r="O134" t="str">
        <f t="shared" si="8"/>
        <v>No</v>
      </c>
    </row>
    <row r="135" spans="1:15" x14ac:dyDescent="0.3">
      <c r="A135" s="5" t="s">
        <v>234</v>
      </c>
      <c r="B135" s="6">
        <v>45368</v>
      </c>
      <c r="C135" s="5" t="s">
        <v>203</v>
      </c>
      <c r="D135" s="5" t="s">
        <v>14</v>
      </c>
      <c r="E135" s="5" t="s">
        <v>44</v>
      </c>
      <c r="F135" s="5" t="s">
        <v>45</v>
      </c>
      <c r="G135" s="5" t="s">
        <v>46</v>
      </c>
      <c r="H135" s="5" t="s">
        <v>25</v>
      </c>
      <c r="I135" s="14">
        <v>11340.79</v>
      </c>
      <c r="J135" s="7">
        <v>15000</v>
      </c>
      <c r="K135" s="5" t="s">
        <v>26</v>
      </c>
      <c r="L135" s="5" t="s">
        <v>20</v>
      </c>
      <c r="M135" s="17">
        <f t="shared" si="6"/>
        <v>-3659.2099999999991</v>
      </c>
      <c r="N135" s="15">
        <f t="shared" si="7"/>
        <v>-11340.79</v>
      </c>
      <c r="O135" t="str">
        <f t="shared" si="8"/>
        <v>No</v>
      </c>
    </row>
    <row r="136" spans="1:15" x14ac:dyDescent="0.3">
      <c r="A136" s="2" t="s">
        <v>235</v>
      </c>
      <c r="B136" s="3">
        <v>45368</v>
      </c>
      <c r="C136" s="2" t="s">
        <v>203</v>
      </c>
      <c r="D136" s="2" t="s">
        <v>54</v>
      </c>
      <c r="E136" s="2" t="s">
        <v>87</v>
      </c>
      <c r="F136" s="2" t="s">
        <v>88</v>
      </c>
      <c r="G136" s="2" t="s">
        <v>89</v>
      </c>
      <c r="H136" s="2" t="s">
        <v>18</v>
      </c>
      <c r="I136" s="12">
        <v>7003.11</v>
      </c>
      <c r="J136" s="4">
        <v>0</v>
      </c>
      <c r="K136" s="2" t="s">
        <v>19</v>
      </c>
      <c r="L136" s="2" t="s">
        <v>20</v>
      </c>
      <c r="M136" s="17" t="str">
        <f t="shared" si="6"/>
        <v>0</v>
      </c>
      <c r="N136" s="15">
        <f t="shared" si="7"/>
        <v>7003.11</v>
      </c>
      <c r="O136" t="str">
        <f t="shared" si="8"/>
        <v>Yes</v>
      </c>
    </row>
    <row r="137" spans="1:15" x14ac:dyDescent="0.3">
      <c r="A137" s="5" t="s">
        <v>236</v>
      </c>
      <c r="B137" s="6">
        <v>45369</v>
      </c>
      <c r="C137" s="5" t="s">
        <v>203</v>
      </c>
      <c r="D137" s="5" t="s">
        <v>14</v>
      </c>
      <c r="E137" s="5" t="s">
        <v>34</v>
      </c>
      <c r="F137" s="5" t="s">
        <v>35</v>
      </c>
      <c r="G137" s="5" t="s">
        <v>36</v>
      </c>
      <c r="H137" s="5" t="s">
        <v>32</v>
      </c>
      <c r="I137" s="14">
        <v>2213.48</v>
      </c>
      <c r="J137" s="7">
        <v>4000</v>
      </c>
      <c r="K137" s="5" t="s">
        <v>19</v>
      </c>
      <c r="L137" s="5" t="s">
        <v>27</v>
      </c>
      <c r="M137" s="17">
        <f t="shared" si="6"/>
        <v>-1786.52</v>
      </c>
      <c r="N137" s="15">
        <f t="shared" si="7"/>
        <v>-2213.48</v>
      </c>
      <c r="O137" t="str">
        <f t="shared" si="8"/>
        <v>No</v>
      </c>
    </row>
    <row r="138" spans="1:15" x14ac:dyDescent="0.3">
      <c r="A138" s="2" t="s">
        <v>237</v>
      </c>
      <c r="B138" s="3">
        <v>45370</v>
      </c>
      <c r="C138" s="2" t="s">
        <v>203</v>
      </c>
      <c r="D138" s="2" t="s">
        <v>14</v>
      </c>
      <c r="E138" s="2" t="s">
        <v>29</v>
      </c>
      <c r="F138" s="2" t="s">
        <v>238</v>
      </c>
      <c r="G138" s="2" t="s">
        <v>239</v>
      </c>
      <c r="H138" s="2" t="s">
        <v>37</v>
      </c>
      <c r="I138" s="12">
        <v>2856.53</v>
      </c>
      <c r="J138" s="4">
        <v>3000</v>
      </c>
      <c r="K138" s="2" t="s">
        <v>26</v>
      </c>
      <c r="L138" s="2" t="s">
        <v>20</v>
      </c>
      <c r="M138" s="17">
        <f t="shared" si="6"/>
        <v>-143.4699999999998</v>
      </c>
      <c r="N138" s="15">
        <f t="shared" si="7"/>
        <v>-2856.53</v>
      </c>
      <c r="O138" t="str">
        <f t="shared" si="8"/>
        <v>No</v>
      </c>
    </row>
    <row r="139" spans="1:15" x14ac:dyDescent="0.3">
      <c r="A139" s="5" t="s">
        <v>240</v>
      </c>
      <c r="B139" s="6">
        <v>45371</v>
      </c>
      <c r="C139" s="5" t="s">
        <v>203</v>
      </c>
      <c r="D139" s="5" t="s">
        <v>14</v>
      </c>
      <c r="E139" s="5" t="s">
        <v>40</v>
      </c>
      <c r="F139" s="5" t="s">
        <v>41</v>
      </c>
      <c r="G139" s="5" t="s">
        <v>42</v>
      </c>
      <c r="H139" s="5" t="s">
        <v>52</v>
      </c>
      <c r="I139" s="14">
        <v>5769.37</v>
      </c>
      <c r="J139" s="7">
        <v>6000</v>
      </c>
      <c r="K139" s="5" t="s">
        <v>26</v>
      </c>
      <c r="L139" s="5" t="s">
        <v>27</v>
      </c>
      <c r="M139" s="17">
        <f t="shared" si="6"/>
        <v>-230.63000000000011</v>
      </c>
      <c r="N139" s="15">
        <f t="shared" si="7"/>
        <v>-5769.37</v>
      </c>
      <c r="O139" t="str">
        <f t="shared" si="8"/>
        <v>No</v>
      </c>
    </row>
    <row r="140" spans="1:15" x14ac:dyDescent="0.3">
      <c r="A140" s="2" t="s">
        <v>241</v>
      </c>
      <c r="B140" s="3">
        <v>45371</v>
      </c>
      <c r="C140" s="2" t="s">
        <v>203</v>
      </c>
      <c r="D140" s="2" t="s">
        <v>14</v>
      </c>
      <c r="E140" s="2" t="s">
        <v>22</v>
      </c>
      <c r="F140" s="2" t="s">
        <v>154</v>
      </c>
      <c r="G140" s="2" t="s">
        <v>155</v>
      </c>
      <c r="H140" s="2" t="s">
        <v>52</v>
      </c>
      <c r="I140" s="12">
        <v>2322.89</v>
      </c>
      <c r="J140" s="4">
        <v>2500</v>
      </c>
      <c r="K140" s="2" t="s">
        <v>47</v>
      </c>
      <c r="L140" s="2" t="s">
        <v>20</v>
      </c>
      <c r="M140" s="17">
        <f t="shared" si="6"/>
        <v>-177.11000000000013</v>
      </c>
      <c r="N140" s="15">
        <f t="shared" si="7"/>
        <v>-2322.89</v>
      </c>
      <c r="O140" t="str">
        <f t="shared" si="8"/>
        <v>No</v>
      </c>
    </row>
    <row r="141" spans="1:15" x14ac:dyDescent="0.3">
      <c r="A141" s="5" t="s">
        <v>242</v>
      </c>
      <c r="B141" s="6">
        <v>45373</v>
      </c>
      <c r="C141" s="5" t="s">
        <v>203</v>
      </c>
      <c r="D141" s="5" t="s">
        <v>14</v>
      </c>
      <c r="E141" s="5" t="s">
        <v>15</v>
      </c>
      <c r="F141" s="5" t="s">
        <v>60</v>
      </c>
      <c r="G141" s="5" t="s">
        <v>61</v>
      </c>
      <c r="H141" s="5" t="s">
        <v>25</v>
      </c>
      <c r="I141" s="14">
        <v>13801.03</v>
      </c>
      <c r="J141" s="7">
        <v>12000</v>
      </c>
      <c r="K141" s="5" t="s">
        <v>47</v>
      </c>
      <c r="L141" s="5" t="s">
        <v>20</v>
      </c>
      <c r="M141" s="17">
        <f t="shared" si="6"/>
        <v>1801.0300000000007</v>
      </c>
      <c r="N141" s="15">
        <f t="shared" si="7"/>
        <v>-13801.03</v>
      </c>
      <c r="O141" t="str">
        <f t="shared" si="8"/>
        <v>Yes</v>
      </c>
    </row>
    <row r="142" spans="1:15" x14ac:dyDescent="0.3">
      <c r="A142" s="2" t="s">
        <v>243</v>
      </c>
      <c r="B142" s="3">
        <v>45373</v>
      </c>
      <c r="C142" s="2" t="s">
        <v>203</v>
      </c>
      <c r="D142" s="2" t="s">
        <v>54</v>
      </c>
      <c r="E142" s="2" t="s">
        <v>55</v>
      </c>
      <c r="F142" s="2" t="s">
        <v>56</v>
      </c>
      <c r="G142" s="2" t="s">
        <v>57</v>
      </c>
      <c r="H142" s="2" t="s">
        <v>37</v>
      </c>
      <c r="I142" s="12">
        <v>50743.63</v>
      </c>
      <c r="J142" s="4">
        <v>0</v>
      </c>
      <c r="K142" s="2" t="s">
        <v>38</v>
      </c>
      <c r="L142" s="2" t="s">
        <v>20</v>
      </c>
      <c r="M142" s="17" t="str">
        <f t="shared" si="6"/>
        <v>0</v>
      </c>
      <c r="N142" s="15">
        <f t="shared" si="7"/>
        <v>50743.63</v>
      </c>
      <c r="O142" t="str">
        <f t="shared" si="8"/>
        <v>Yes</v>
      </c>
    </row>
    <row r="143" spans="1:15" x14ac:dyDescent="0.3">
      <c r="A143" s="5" t="s">
        <v>244</v>
      </c>
      <c r="B143" s="6">
        <v>45373</v>
      </c>
      <c r="C143" s="5" t="s">
        <v>203</v>
      </c>
      <c r="D143" s="5" t="s">
        <v>14</v>
      </c>
      <c r="E143" s="5" t="s">
        <v>22</v>
      </c>
      <c r="F143" s="5" t="s">
        <v>66</v>
      </c>
      <c r="G143" s="5" t="s">
        <v>67</v>
      </c>
      <c r="H143" s="5" t="s">
        <v>52</v>
      </c>
      <c r="I143" s="14">
        <v>1713.04</v>
      </c>
      <c r="J143" s="7">
        <v>2500</v>
      </c>
      <c r="K143" s="5" t="s">
        <v>38</v>
      </c>
      <c r="L143" s="5" t="s">
        <v>27</v>
      </c>
      <c r="M143" s="17">
        <f t="shared" si="6"/>
        <v>-786.96</v>
      </c>
      <c r="N143" s="15">
        <f t="shared" si="7"/>
        <v>-1713.04</v>
      </c>
      <c r="O143" t="str">
        <f t="shared" si="8"/>
        <v>No</v>
      </c>
    </row>
    <row r="144" spans="1:15" x14ac:dyDescent="0.3">
      <c r="A144" s="2" t="s">
        <v>245</v>
      </c>
      <c r="B144" s="3">
        <v>45373</v>
      </c>
      <c r="C144" s="2" t="s">
        <v>203</v>
      </c>
      <c r="D144" s="2" t="s">
        <v>14</v>
      </c>
      <c r="E144" s="2" t="s">
        <v>40</v>
      </c>
      <c r="F144" s="2" t="s">
        <v>97</v>
      </c>
      <c r="G144" s="2" t="s">
        <v>98</v>
      </c>
      <c r="H144" s="2" t="s">
        <v>32</v>
      </c>
      <c r="I144" s="12">
        <v>3261.84</v>
      </c>
      <c r="J144" s="4">
        <v>6000</v>
      </c>
      <c r="K144" s="2" t="s">
        <v>19</v>
      </c>
      <c r="L144" s="2" t="s">
        <v>27</v>
      </c>
      <c r="M144" s="17">
        <f t="shared" si="6"/>
        <v>-2738.16</v>
      </c>
      <c r="N144" s="15">
        <f t="shared" si="7"/>
        <v>-3261.84</v>
      </c>
      <c r="O144" t="str">
        <f t="shared" si="8"/>
        <v>No</v>
      </c>
    </row>
    <row r="145" spans="1:15" x14ac:dyDescent="0.3">
      <c r="A145" s="5" t="s">
        <v>246</v>
      </c>
      <c r="B145" s="6">
        <v>45376</v>
      </c>
      <c r="C145" s="5" t="s">
        <v>203</v>
      </c>
      <c r="D145" s="5" t="s">
        <v>14</v>
      </c>
      <c r="E145" s="5" t="s">
        <v>72</v>
      </c>
      <c r="F145" s="5" t="s">
        <v>132</v>
      </c>
      <c r="G145" s="5" t="s">
        <v>133</v>
      </c>
      <c r="H145" s="5" t="s">
        <v>52</v>
      </c>
      <c r="I145" s="14">
        <v>2569.12</v>
      </c>
      <c r="J145" s="7">
        <v>2000</v>
      </c>
      <c r="K145" s="5" t="s">
        <v>47</v>
      </c>
      <c r="L145" s="5" t="s">
        <v>27</v>
      </c>
      <c r="M145" s="17">
        <f t="shared" si="6"/>
        <v>569.11999999999989</v>
      </c>
      <c r="N145" s="15">
        <f t="shared" si="7"/>
        <v>-2569.12</v>
      </c>
      <c r="O145" t="str">
        <f t="shared" si="8"/>
        <v>Yes</v>
      </c>
    </row>
    <row r="146" spans="1:15" x14ac:dyDescent="0.3">
      <c r="A146" s="2" t="s">
        <v>247</v>
      </c>
      <c r="B146" s="3">
        <v>45377</v>
      </c>
      <c r="C146" s="2" t="s">
        <v>203</v>
      </c>
      <c r="D146" s="2" t="s">
        <v>14</v>
      </c>
      <c r="E146" s="2" t="s">
        <v>22</v>
      </c>
      <c r="F146" s="2" t="s">
        <v>66</v>
      </c>
      <c r="G146" s="2" t="s">
        <v>67</v>
      </c>
      <c r="H146" s="2" t="s">
        <v>37</v>
      </c>
      <c r="I146" s="12">
        <v>3021.92</v>
      </c>
      <c r="J146" s="4">
        <v>2500</v>
      </c>
      <c r="K146" s="2" t="s">
        <v>47</v>
      </c>
      <c r="L146" s="2" t="s">
        <v>27</v>
      </c>
      <c r="M146" s="17">
        <f t="shared" si="6"/>
        <v>521.92000000000007</v>
      </c>
      <c r="N146" s="15">
        <f t="shared" si="7"/>
        <v>-3021.92</v>
      </c>
      <c r="O146" t="str">
        <f t="shared" si="8"/>
        <v>Yes</v>
      </c>
    </row>
    <row r="147" spans="1:15" x14ac:dyDescent="0.3">
      <c r="A147" s="5" t="s">
        <v>248</v>
      </c>
      <c r="B147" s="6">
        <v>45378</v>
      </c>
      <c r="C147" s="5" t="s">
        <v>203</v>
      </c>
      <c r="D147" s="5" t="s">
        <v>14</v>
      </c>
      <c r="E147" s="5" t="s">
        <v>49</v>
      </c>
      <c r="F147" s="5" t="s">
        <v>50</v>
      </c>
      <c r="G147" s="5" t="s">
        <v>51</v>
      </c>
      <c r="H147" s="5" t="s">
        <v>25</v>
      </c>
      <c r="I147" s="14">
        <v>3585.96</v>
      </c>
      <c r="J147" s="7">
        <v>3500</v>
      </c>
      <c r="K147" s="5" t="s">
        <v>47</v>
      </c>
      <c r="L147" s="5" t="s">
        <v>27</v>
      </c>
      <c r="M147" s="17">
        <f t="shared" si="6"/>
        <v>85.960000000000036</v>
      </c>
      <c r="N147" s="15">
        <f t="shared" si="7"/>
        <v>-3585.96</v>
      </c>
      <c r="O147" t="str">
        <f t="shared" si="8"/>
        <v>Yes</v>
      </c>
    </row>
    <row r="148" spans="1:15" x14ac:dyDescent="0.3">
      <c r="A148" s="2" t="s">
        <v>249</v>
      </c>
      <c r="B148" s="3">
        <v>45378</v>
      </c>
      <c r="C148" s="2" t="s">
        <v>203</v>
      </c>
      <c r="D148" s="2" t="s">
        <v>14</v>
      </c>
      <c r="E148" s="2" t="s">
        <v>22</v>
      </c>
      <c r="F148" s="2" t="s">
        <v>66</v>
      </c>
      <c r="G148" s="2" t="s">
        <v>67</v>
      </c>
      <c r="H148" s="2" t="s">
        <v>52</v>
      </c>
      <c r="I148" s="12">
        <v>2383.0300000000002</v>
      </c>
      <c r="J148" s="4">
        <v>2500</v>
      </c>
      <c r="K148" s="2" t="s">
        <v>19</v>
      </c>
      <c r="L148" s="2" t="s">
        <v>27</v>
      </c>
      <c r="M148" s="17">
        <f t="shared" si="6"/>
        <v>-116.9699999999998</v>
      </c>
      <c r="N148" s="15">
        <f t="shared" si="7"/>
        <v>-2383.0300000000002</v>
      </c>
      <c r="O148" t="str">
        <f t="shared" si="8"/>
        <v>No</v>
      </c>
    </row>
    <row r="149" spans="1:15" x14ac:dyDescent="0.3">
      <c r="A149" s="5" t="s">
        <v>250</v>
      </c>
      <c r="B149" s="6">
        <v>45378</v>
      </c>
      <c r="C149" s="5" t="s">
        <v>203</v>
      </c>
      <c r="D149" s="5" t="s">
        <v>14</v>
      </c>
      <c r="E149" s="5" t="s">
        <v>40</v>
      </c>
      <c r="F149" s="5" t="s">
        <v>97</v>
      </c>
      <c r="G149" s="5" t="s">
        <v>98</v>
      </c>
      <c r="H149" s="5" t="s">
        <v>18</v>
      </c>
      <c r="I149" s="14">
        <v>3730.11</v>
      </c>
      <c r="J149" s="7">
        <v>6000</v>
      </c>
      <c r="K149" s="5" t="s">
        <v>26</v>
      </c>
      <c r="L149" s="5" t="s">
        <v>27</v>
      </c>
      <c r="M149" s="17">
        <f t="shared" si="6"/>
        <v>-2269.89</v>
      </c>
      <c r="N149" s="15">
        <f t="shared" si="7"/>
        <v>-3730.11</v>
      </c>
      <c r="O149" t="str">
        <f t="shared" si="8"/>
        <v>No</v>
      </c>
    </row>
    <row r="150" spans="1:15" x14ac:dyDescent="0.3">
      <c r="A150" s="2" t="s">
        <v>251</v>
      </c>
      <c r="B150" s="3">
        <v>45379</v>
      </c>
      <c r="C150" s="2" t="s">
        <v>203</v>
      </c>
      <c r="D150" s="2" t="s">
        <v>14</v>
      </c>
      <c r="E150" s="2" t="s">
        <v>40</v>
      </c>
      <c r="F150" s="2" t="s">
        <v>97</v>
      </c>
      <c r="G150" s="2" t="s">
        <v>98</v>
      </c>
      <c r="H150" s="2" t="s">
        <v>37</v>
      </c>
      <c r="I150" s="12">
        <v>7163.94</v>
      </c>
      <c r="J150" s="4">
        <v>6000</v>
      </c>
      <c r="K150" s="2" t="s">
        <v>47</v>
      </c>
      <c r="L150" s="2" t="s">
        <v>27</v>
      </c>
      <c r="M150" s="17">
        <f t="shared" si="6"/>
        <v>1163.9399999999996</v>
      </c>
      <c r="N150" s="15">
        <f t="shared" si="7"/>
        <v>-7163.94</v>
      </c>
      <c r="O150" t="str">
        <f t="shared" si="8"/>
        <v>Yes</v>
      </c>
    </row>
    <row r="151" spans="1:15" x14ac:dyDescent="0.3">
      <c r="A151" s="5" t="s">
        <v>252</v>
      </c>
      <c r="B151" s="6">
        <v>45379</v>
      </c>
      <c r="C151" s="5" t="s">
        <v>203</v>
      </c>
      <c r="D151" s="5" t="s">
        <v>14</v>
      </c>
      <c r="E151" s="5" t="s">
        <v>29</v>
      </c>
      <c r="F151" s="5" t="s">
        <v>30</v>
      </c>
      <c r="G151" s="5" t="s">
        <v>31</v>
      </c>
      <c r="H151" s="5" t="s">
        <v>18</v>
      </c>
      <c r="I151" s="14">
        <v>2273.59</v>
      </c>
      <c r="J151" s="7">
        <v>3000</v>
      </c>
      <c r="K151" s="5" t="s">
        <v>26</v>
      </c>
      <c r="L151" s="5" t="s">
        <v>20</v>
      </c>
      <c r="M151" s="17">
        <f t="shared" si="6"/>
        <v>-726.40999999999985</v>
      </c>
      <c r="N151" s="15">
        <f t="shared" si="7"/>
        <v>-2273.59</v>
      </c>
      <c r="O151" t="str">
        <f t="shared" si="8"/>
        <v>No</v>
      </c>
    </row>
    <row r="152" spans="1:15" x14ac:dyDescent="0.3">
      <c r="A152" s="2" t="s">
        <v>253</v>
      </c>
      <c r="B152" s="3">
        <v>45380</v>
      </c>
      <c r="C152" s="2" t="s">
        <v>203</v>
      </c>
      <c r="D152" s="2" t="s">
        <v>14</v>
      </c>
      <c r="E152" s="2" t="s">
        <v>40</v>
      </c>
      <c r="F152" s="2" t="s">
        <v>41</v>
      </c>
      <c r="G152" s="2" t="s">
        <v>42</v>
      </c>
      <c r="H152" s="2" t="s">
        <v>18</v>
      </c>
      <c r="I152" s="12">
        <v>6429.43</v>
      </c>
      <c r="J152" s="4">
        <v>6000</v>
      </c>
      <c r="K152" s="2" t="s">
        <v>38</v>
      </c>
      <c r="L152" s="2" t="s">
        <v>20</v>
      </c>
      <c r="M152" s="17">
        <f t="shared" si="6"/>
        <v>429.43000000000029</v>
      </c>
      <c r="N152" s="15">
        <f t="shared" si="7"/>
        <v>-6429.43</v>
      </c>
      <c r="O152" t="str">
        <f t="shared" si="8"/>
        <v>Yes</v>
      </c>
    </row>
    <row r="153" spans="1:15" x14ac:dyDescent="0.3">
      <c r="A153" s="5" t="s">
        <v>254</v>
      </c>
      <c r="B153" s="6">
        <v>45380</v>
      </c>
      <c r="C153" s="5" t="s">
        <v>203</v>
      </c>
      <c r="D153" s="5" t="s">
        <v>14</v>
      </c>
      <c r="E153" s="5" t="s">
        <v>22</v>
      </c>
      <c r="F153" s="5" t="s">
        <v>23</v>
      </c>
      <c r="G153" s="5" t="s">
        <v>24</v>
      </c>
      <c r="H153" s="5" t="s">
        <v>37</v>
      </c>
      <c r="I153" s="14">
        <v>2962.02</v>
      </c>
      <c r="J153" s="7">
        <v>2500</v>
      </c>
      <c r="K153" s="5" t="s">
        <v>26</v>
      </c>
      <c r="L153" s="5" t="s">
        <v>20</v>
      </c>
      <c r="M153" s="17">
        <f t="shared" si="6"/>
        <v>462.02</v>
      </c>
      <c r="N153" s="15">
        <f t="shared" si="7"/>
        <v>-2962.02</v>
      </c>
      <c r="O153" t="str">
        <f t="shared" si="8"/>
        <v>Yes</v>
      </c>
    </row>
    <row r="154" spans="1:15" x14ac:dyDescent="0.3">
      <c r="A154" s="2" t="s">
        <v>255</v>
      </c>
      <c r="B154" s="3">
        <v>45380</v>
      </c>
      <c r="C154" s="2" t="s">
        <v>203</v>
      </c>
      <c r="D154" s="2" t="s">
        <v>14</v>
      </c>
      <c r="E154" s="2" t="s">
        <v>40</v>
      </c>
      <c r="F154" s="2" t="s">
        <v>97</v>
      </c>
      <c r="G154" s="2" t="s">
        <v>98</v>
      </c>
      <c r="H154" s="2" t="s">
        <v>32</v>
      </c>
      <c r="I154" s="12">
        <v>4258.34</v>
      </c>
      <c r="J154" s="4">
        <v>6000</v>
      </c>
      <c r="K154" s="2" t="s">
        <v>47</v>
      </c>
      <c r="L154" s="2" t="s">
        <v>27</v>
      </c>
      <c r="M154" s="17">
        <f t="shared" si="6"/>
        <v>-1741.6599999999999</v>
      </c>
      <c r="N154" s="15">
        <f t="shared" si="7"/>
        <v>-4258.34</v>
      </c>
      <c r="O154" t="str">
        <f t="shared" si="8"/>
        <v>No</v>
      </c>
    </row>
    <row r="155" spans="1:15" x14ac:dyDescent="0.3">
      <c r="A155" s="5" t="s">
        <v>256</v>
      </c>
      <c r="B155" s="6">
        <v>45381</v>
      </c>
      <c r="C155" s="5" t="s">
        <v>203</v>
      </c>
      <c r="D155" s="5" t="s">
        <v>14</v>
      </c>
      <c r="E155" s="5" t="s">
        <v>22</v>
      </c>
      <c r="F155" s="5" t="s">
        <v>154</v>
      </c>
      <c r="G155" s="5" t="s">
        <v>155</v>
      </c>
      <c r="H155" s="5" t="s">
        <v>52</v>
      </c>
      <c r="I155" s="14">
        <v>1359.98</v>
      </c>
      <c r="J155" s="7">
        <v>2500</v>
      </c>
      <c r="K155" s="5" t="s">
        <v>26</v>
      </c>
      <c r="L155" s="5" t="s">
        <v>27</v>
      </c>
      <c r="M155" s="17">
        <f t="shared" si="6"/>
        <v>-1140.02</v>
      </c>
      <c r="N155" s="15">
        <f t="shared" si="7"/>
        <v>-1359.98</v>
      </c>
      <c r="O155" t="str">
        <f t="shared" si="8"/>
        <v>No</v>
      </c>
    </row>
    <row r="156" spans="1:15" x14ac:dyDescent="0.3">
      <c r="A156" s="2" t="s">
        <v>257</v>
      </c>
      <c r="B156" s="3">
        <v>45381</v>
      </c>
      <c r="C156" s="2" t="s">
        <v>203</v>
      </c>
      <c r="D156" s="2" t="s">
        <v>14</v>
      </c>
      <c r="E156" s="2" t="s">
        <v>44</v>
      </c>
      <c r="F156" s="2" t="s">
        <v>45</v>
      </c>
      <c r="G156" s="2" t="s">
        <v>46</v>
      </c>
      <c r="H156" s="2" t="s">
        <v>37</v>
      </c>
      <c r="I156" s="12">
        <v>10072.42</v>
      </c>
      <c r="J156" s="4">
        <v>15000</v>
      </c>
      <c r="K156" s="2" t="s">
        <v>38</v>
      </c>
      <c r="L156" s="2" t="s">
        <v>20</v>
      </c>
      <c r="M156" s="17">
        <f t="shared" si="6"/>
        <v>-4927.58</v>
      </c>
      <c r="N156" s="15">
        <f t="shared" si="7"/>
        <v>-10072.42</v>
      </c>
      <c r="O156" t="str">
        <f t="shared" si="8"/>
        <v>No</v>
      </c>
    </row>
    <row r="157" spans="1:15" x14ac:dyDescent="0.3">
      <c r="A157" s="5" t="s">
        <v>258</v>
      </c>
      <c r="B157" s="6">
        <v>45381</v>
      </c>
      <c r="C157" s="5" t="s">
        <v>203</v>
      </c>
      <c r="D157" s="5" t="s">
        <v>14</v>
      </c>
      <c r="E157" s="5" t="s">
        <v>15</v>
      </c>
      <c r="F157" s="5" t="s">
        <v>60</v>
      </c>
      <c r="G157" s="5" t="s">
        <v>61</v>
      </c>
      <c r="H157" s="5" t="s">
        <v>52</v>
      </c>
      <c r="I157" s="14">
        <v>8690.19</v>
      </c>
      <c r="J157" s="7">
        <v>12000</v>
      </c>
      <c r="K157" s="5" t="s">
        <v>26</v>
      </c>
      <c r="L157" s="5" t="s">
        <v>20</v>
      </c>
      <c r="M157" s="17">
        <f t="shared" si="6"/>
        <v>-3309.8099999999995</v>
      </c>
      <c r="N157" s="15">
        <f t="shared" si="7"/>
        <v>-8690.19</v>
      </c>
      <c r="O157" t="str">
        <f t="shared" si="8"/>
        <v>No</v>
      </c>
    </row>
    <row r="158" spans="1:15" x14ac:dyDescent="0.3">
      <c r="A158" s="2" t="s">
        <v>259</v>
      </c>
      <c r="B158" s="3">
        <v>45382</v>
      </c>
      <c r="C158" s="2" t="s">
        <v>203</v>
      </c>
      <c r="D158" s="2" t="s">
        <v>14</v>
      </c>
      <c r="E158" s="2" t="s">
        <v>15</v>
      </c>
      <c r="F158" s="2" t="s">
        <v>16</v>
      </c>
      <c r="G158" s="2" t="s">
        <v>17</v>
      </c>
      <c r="H158" s="2" t="s">
        <v>25</v>
      </c>
      <c r="I158" s="12">
        <v>7651.41</v>
      </c>
      <c r="J158" s="4">
        <v>12000</v>
      </c>
      <c r="K158" s="2" t="s">
        <v>38</v>
      </c>
      <c r="L158" s="2" t="s">
        <v>20</v>
      </c>
      <c r="M158" s="17">
        <f t="shared" si="6"/>
        <v>-4348.59</v>
      </c>
      <c r="N158" s="15">
        <f t="shared" si="7"/>
        <v>-7651.41</v>
      </c>
      <c r="O158" t="str">
        <f t="shared" si="8"/>
        <v>No</v>
      </c>
    </row>
    <row r="159" spans="1:15" x14ac:dyDescent="0.3">
      <c r="A159" s="5" t="s">
        <v>260</v>
      </c>
      <c r="B159" s="6">
        <v>45382</v>
      </c>
      <c r="C159" s="5" t="s">
        <v>203</v>
      </c>
      <c r="D159" s="5" t="s">
        <v>14</v>
      </c>
      <c r="E159" s="5" t="s">
        <v>15</v>
      </c>
      <c r="F159" s="5" t="s">
        <v>83</v>
      </c>
      <c r="G159" s="5" t="s">
        <v>84</v>
      </c>
      <c r="H159" s="5" t="s">
        <v>37</v>
      </c>
      <c r="I159" s="14">
        <v>10444.969999999999</v>
      </c>
      <c r="J159" s="7">
        <v>12000</v>
      </c>
      <c r="K159" s="5" t="s">
        <v>38</v>
      </c>
      <c r="L159" s="5" t="s">
        <v>20</v>
      </c>
      <c r="M159" s="17">
        <f t="shared" si="6"/>
        <v>-1555.0300000000007</v>
      </c>
      <c r="N159" s="15">
        <f t="shared" si="7"/>
        <v>-10444.969999999999</v>
      </c>
      <c r="O159" t="str">
        <f t="shared" si="8"/>
        <v>No</v>
      </c>
    </row>
    <row r="160" spans="1:15" x14ac:dyDescent="0.3">
      <c r="A160" s="2" t="s">
        <v>261</v>
      </c>
      <c r="B160" s="3">
        <v>45382</v>
      </c>
      <c r="C160" s="2" t="s">
        <v>203</v>
      </c>
      <c r="D160" s="2" t="s">
        <v>14</v>
      </c>
      <c r="E160" s="2" t="s">
        <v>40</v>
      </c>
      <c r="F160" s="2" t="s">
        <v>97</v>
      </c>
      <c r="G160" s="2" t="s">
        <v>98</v>
      </c>
      <c r="H160" s="2" t="s">
        <v>37</v>
      </c>
      <c r="I160" s="12">
        <v>5508.13</v>
      </c>
      <c r="J160" s="4">
        <v>6000</v>
      </c>
      <c r="K160" s="2" t="s">
        <v>47</v>
      </c>
      <c r="L160" s="2" t="s">
        <v>27</v>
      </c>
      <c r="M160" s="17">
        <f t="shared" si="6"/>
        <v>-491.86999999999989</v>
      </c>
      <c r="N160" s="15">
        <f t="shared" si="7"/>
        <v>-5508.13</v>
      </c>
      <c r="O160" t="str">
        <f t="shared" si="8"/>
        <v>No</v>
      </c>
    </row>
    <row r="161" spans="1:15" x14ac:dyDescent="0.3">
      <c r="A161" s="5" t="s">
        <v>262</v>
      </c>
      <c r="B161" s="6">
        <v>45383</v>
      </c>
      <c r="C161" s="5" t="s">
        <v>263</v>
      </c>
      <c r="D161" s="5" t="s">
        <v>14</v>
      </c>
      <c r="E161" s="5" t="s">
        <v>40</v>
      </c>
      <c r="F161" s="5" t="s">
        <v>97</v>
      </c>
      <c r="G161" s="5" t="s">
        <v>98</v>
      </c>
      <c r="H161" s="5" t="s">
        <v>25</v>
      </c>
      <c r="I161" s="14">
        <v>7527.82</v>
      </c>
      <c r="J161" s="7">
        <v>6000</v>
      </c>
      <c r="K161" s="5" t="s">
        <v>38</v>
      </c>
      <c r="L161" s="5" t="s">
        <v>20</v>
      </c>
      <c r="M161" s="17">
        <f t="shared" si="6"/>
        <v>1527.8199999999997</v>
      </c>
      <c r="N161" s="15">
        <f t="shared" si="7"/>
        <v>-7527.82</v>
      </c>
      <c r="O161" t="str">
        <f t="shared" si="8"/>
        <v>Yes</v>
      </c>
    </row>
    <row r="162" spans="1:15" x14ac:dyDescent="0.3">
      <c r="A162" s="2" t="s">
        <v>264</v>
      </c>
      <c r="B162" s="3">
        <v>45384</v>
      </c>
      <c r="C162" s="2" t="s">
        <v>263</v>
      </c>
      <c r="D162" s="2" t="s">
        <v>54</v>
      </c>
      <c r="E162" s="2" t="s">
        <v>55</v>
      </c>
      <c r="F162" s="2" t="s">
        <v>56</v>
      </c>
      <c r="G162" s="2" t="s">
        <v>57</v>
      </c>
      <c r="H162" s="2" t="s">
        <v>25</v>
      </c>
      <c r="I162" s="12">
        <v>41785.9</v>
      </c>
      <c r="J162" s="4">
        <v>0</v>
      </c>
      <c r="K162" s="2" t="s">
        <v>38</v>
      </c>
      <c r="L162" s="2" t="s">
        <v>20</v>
      </c>
      <c r="M162" s="17" t="str">
        <f t="shared" si="6"/>
        <v>0</v>
      </c>
      <c r="N162" s="15">
        <f t="shared" si="7"/>
        <v>41785.9</v>
      </c>
      <c r="O162" t="str">
        <f t="shared" si="8"/>
        <v>Yes</v>
      </c>
    </row>
    <row r="163" spans="1:15" x14ac:dyDescent="0.3">
      <c r="A163" s="5" t="s">
        <v>265</v>
      </c>
      <c r="B163" s="6">
        <v>45384</v>
      </c>
      <c r="C163" s="5" t="s">
        <v>263</v>
      </c>
      <c r="D163" s="5" t="s">
        <v>14</v>
      </c>
      <c r="E163" s="5" t="s">
        <v>40</v>
      </c>
      <c r="F163" s="5" t="s">
        <v>41</v>
      </c>
      <c r="G163" s="5" t="s">
        <v>42</v>
      </c>
      <c r="H163" s="5" t="s">
        <v>37</v>
      </c>
      <c r="I163" s="14">
        <v>3114.73</v>
      </c>
      <c r="J163" s="7">
        <v>6000</v>
      </c>
      <c r="K163" s="5" t="s">
        <v>26</v>
      </c>
      <c r="L163" s="5" t="s">
        <v>27</v>
      </c>
      <c r="M163" s="17">
        <f t="shared" si="6"/>
        <v>-2885.27</v>
      </c>
      <c r="N163" s="15">
        <f t="shared" si="7"/>
        <v>-3114.73</v>
      </c>
      <c r="O163" t="str">
        <f t="shared" si="8"/>
        <v>No</v>
      </c>
    </row>
    <row r="164" spans="1:15" x14ac:dyDescent="0.3">
      <c r="A164" s="2" t="s">
        <v>266</v>
      </c>
      <c r="B164" s="3">
        <v>45385</v>
      </c>
      <c r="C164" s="2" t="s">
        <v>263</v>
      </c>
      <c r="D164" s="2" t="s">
        <v>54</v>
      </c>
      <c r="E164" s="2" t="s">
        <v>55</v>
      </c>
      <c r="F164" s="2" t="s">
        <v>56</v>
      </c>
      <c r="G164" s="2" t="s">
        <v>57</v>
      </c>
      <c r="H164" s="2" t="s">
        <v>37</v>
      </c>
      <c r="I164" s="12">
        <v>53538.25</v>
      </c>
      <c r="J164" s="4">
        <v>0</v>
      </c>
      <c r="K164" s="2" t="s">
        <v>19</v>
      </c>
      <c r="L164" s="2" t="s">
        <v>20</v>
      </c>
      <c r="M164" s="17" t="str">
        <f t="shared" si="6"/>
        <v>0</v>
      </c>
      <c r="N164" s="15">
        <f t="shared" si="7"/>
        <v>53538.25</v>
      </c>
      <c r="O164" t="str">
        <f t="shared" si="8"/>
        <v>Yes</v>
      </c>
    </row>
    <row r="165" spans="1:15" x14ac:dyDescent="0.3">
      <c r="A165" s="5" t="s">
        <v>267</v>
      </c>
      <c r="B165" s="6">
        <v>45385</v>
      </c>
      <c r="C165" s="5" t="s">
        <v>263</v>
      </c>
      <c r="D165" s="5" t="s">
        <v>14</v>
      </c>
      <c r="E165" s="5" t="s">
        <v>40</v>
      </c>
      <c r="F165" s="5" t="s">
        <v>97</v>
      </c>
      <c r="G165" s="5" t="s">
        <v>98</v>
      </c>
      <c r="H165" s="5" t="s">
        <v>37</v>
      </c>
      <c r="I165" s="14">
        <v>6602.61</v>
      </c>
      <c r="J165" s="7">
        <v>6000</v>
      </c>
      <c r="K165" s="5" t="s">
        <v>38</v>
      </c>
      <c r="L165" s="5" t="s">
        <v>27</v>
      </c>
      <c r="M165" s="17">
        <f t="shared" si="6"/>
        <v>602.60999999999967</v>
      </c>
      <c r="N165" s="15">
        <f t="shared" si="7"/>
        <v>-6602.61</v>
      </c>
      <c r="O165" t="str">
        <f t="shared" si="8"/>
        <v>Yes</v>
      </c>
    </row>
    <row r="166" spans="1:15" x14ac:dyDescent="0.3">
      <c r="A166" s="2" t="s">
        <v>268</v>
      </c>
      <c r="B166" s="3">
        <v>45386</v>
      </c>
      <c r="C166" s="2" t="s">
        <v>263</v>
      </c>
      <c r="D166" s="2" t="s">
        <v>14</v>
      </c>
      <c r="E166" s="2" t="s">
        <v>112</v>
      </c>
      <c r="F166" s="2" t="s">
        <v>135</v>
      </c>
      <c r="G166" s="2" t="s">
        <v>136</v>
      </c>
      <c r="H166" s="2" t="s">
        <v>37</v>
      </c>
      <c r="I166" s="12">
        <v>7729.65</v>
      </c>
      <c r="J166" s="4">
        <v>8000</v>
      </c>
      <c r="K166" s="2" t="s">
        <v>19</v>
      </c>
      <c r="L166" s="2" t="s">
        <v>20</v>
      </c>
      <c r="M166" s="17">
        <f t="shared" si="6"/>
        <v>-270.35000000000036</v>
      </c>
      <c r="N166" s="15">
        <f t="shared" si="7"/>
        <v>-7729.65</v>
      </c>
      <c r="O166" t="str">
        <f t="shared" si="8"/>
        <v>No</v>
      </c>
    </row>
    <row r="167" spans="1:15" x14ac:dyDescent="0.3">
      <c r="A167" s="5" t="s">
        <v>269</v>
      </c>
      <c r="B167" s="6">
        <v>45388</v>
      </c>
      <c r="C167" s="5" t="s">
        <v>263</v>
      </c>
      <c r="D167" s="5" t="s">
        <v>14</v>
      </c>
      <c r="E167" s="5" t="s">
        <v>22</v>
      </c>
      <c r="F167" s="5" t="s">
        <v>66</v>
      </c>
      <c r="G167" s="5" t="s">
        <v>67</v>
      </c>
      <c r="H167" s="5" t="s">
        <v>25</v>
      </c>
      <c r="I167" s="14">
        <v>3139.11</v>
      </c>
      <c r="J167" s="7">
        <v>2500</v>
      </c>
      <c r="K167" s="5" t="s">
        <v>26</v>
      </c>
      <c r="L167" s="5" t="s">
        <v>27</v>
      </c>
      <c r="M167" s="17">
        <f t="shared" si="6"/>
        <v>639.11000000000013</v>
      </c>
      <c r="N167" s="15">
        <f t="shared" si="7"/>
        <v>-3139.11</v>
      </c>
      <c r="O167" t="str">
        <f t="shared" si="8"/>
        <v>Yes</v>
      </c>
    </row>
    <row r="168" spans="1:15" x14ac:dyDescent="0.3">
      <c r="A168" s="2" t="s">
        <v>270</v>
      </c>
      <c r="B168" s="3">
        <v>45389</v>
      </c>
      <c r="C168" s="2" t="s">
        <v>263</v>
      </c>
      <c r="D168" s="2" t="s">
        <v>14</v>
      </c>
      <c r="E168" s="2" t="s">
        <v>29</v>
      </c>
      <c r="F168" s="2" t="s">
        <v>30</v>
      </c>
      <c r="G168" s="2" t="s">
        <v>31</v>
      </c>
      <c r="H168" s="2" t="s">
        <v>37</v>
      </c>
      <c r="I168" s="12">
        <v>3541.79</v>
      </c>
      <c r="J168" s="4">
        <v>3000</v>
      </c>
      <c r="K168" s="2" t="s">
        <v>19</v>
      </c>
      <c r="L168" s="2" t="s">
        <v>20</v>
      </c>
      <c r="M168" s="17">
        <f t="shared" si="6"/>
        <v>541.79</v>
      </c>
      <c r="N168" s="15">
        <f t="shared" si="7"/>
        <v>-3541.79</v>
      </c>
      <c r="O168" t="str">
        <f t="shared" si="8"/>
        <v>Yes</v>
      </c>
    </row>
    <row r="169" spans="1:15" x14ac:dyDescent="0.3">
      <c r="A169" s="5" t="s">
        <v>271</v>
      </c>
      <c r="B169" s="6">
        <v>45389</v>
      </c>
      <c r="C169" s="5" t="s">
        <v>263</v>
      </c>
      <c r="D169" s="5" t="s">
        <v>14</v>
      </c>
      <c r="E169" s="5" t="s">
        <v>15</v>
      </c>
      <c r="F169" s="5" t="s">
        <v>60</v>
      </c>
      <c r="G169" s="5" t="s">
        <v>61</v>
      </c>
      <c r="H169" s="5" t="s">
        <v>25</v>
      </c>
      <c r="I169" s="14">
        <v>15182.34</v>
      </c>
      <c r="J169" s="7">
        <v>12000</v>
      </c>
      <c r="K169" s="5" t="s">
        <v>47</v>
      </c>
      <c r="L169" s="5" t="s">
        <v>20</v>
      </c>
      <c r="M169" s="17">
        <f t="shared" si="6"/>
        <v>3182.34</v>
      </c>
      <c r="N169" s="15">
        <f t="shared" si="7"/>
        <v>-15182.34</v>
      </c>
      <c r="O169" t="str">
        <f t="shared" si="8"/>
        <v>Yes</v>
      </c>
    </row>
    <row r="170" spans="1:15" x14ac:dyDescent="0.3">
      <c r="A170" s="2" t="s">
        <v>272</v>
      </c>
      <c r="B170" s="3">
        <v>45389</v>
      </c>
      <c r="C170" s="2" t="s">
        <v>263</v>
      </c>
      <c r="D170" s="2" t="s">
        <v>14</v>
      </c>
      <c r="E170" s="2" t="s">
        <v>15</v>
      </c>
      <c r="F170" s="2" t="s">
        <v>16</v>
      </c>
      <c r="G170" s="2" t="s">
        <v>17</v>
      </c>
      <c r="H170" s="2" t="s">
        <v>25</v>
      </c>
      <c r="I170" s="12">
        <v>8932.74</v>
      </c>
      <c r="J170" s="4">
        <v>12000</v>
      </c>
      <c r="K170" s="2" t="s">
        <v>19</v>
      </c>
      <c r="L170" s="2" t="s">
        <v>20</v>
      </c>
      <c r="M170" s="17">
        <f t="shared" si="6"/>
        <v>-3067.26</v>
      </c>
      <c r="N170" s="15">
        <f t="shared" si="7"/>
        <v>-8932.74</v>
      </c>
      <c r="O170" t="str">
        <f t="shared" si="8"/>
        <v>No</v>
      </c>
    </row>
    <row r="171" spans="1:15" x14ac:dyDescent="0.3">
      <c r="A171" s="5" t="s">
        <v>273</v>
      </c>
      <c r="B171" s="6">
        <v>45391</v>
      </c>
      <c r="C171" s="5" t="s">
        <v>263</v>
      </c>
      <c r="D171" s="5" t="s">
        <v>14</v>
      </c>
      <c r="E171" s="5" t="s">
        <v>44</v>
      </c>
      <c r="F171" s="5" t="s">
        <v>45</v>
      </c>
      <c r="G171" s="5" t="s">
        <v>46</v>
      </c>
      <c r="H171" s="5" t="s">
        <v>32</v>
      </c>
      <c r="I171" s="14">
        <v>19470.12</v>
      </c>
      <c r="J171" s="7">
        <v>15000</v>
      </c>
      <c r="K171" s="5" t="s">
        <v>26</v>
      </c>
      <c r="L171" s="5" t="s">
        <v>20</v>
      </c>
      <c r="M171" s="17">
        <f t="shared" si="6"/>
        <v>4470.119999999999</v>
      </c>
      <c r="N171" s="15">
        <f t="shared" si="7"/>
        <v>-19470.12</v>
      </c>
      <c r="O171" t="str">
        <f t="shared" si="8"/>
        <v>Yes</v>
      </c>
    </row>
    <row r="172" spans="1:15" x14ac:dyDescent="0.3">
      <c r="A172" s="2" t="s">
        <v>274</v>
      </c>
      <c r="B172" s="3">
        <v>45392</v>
      </c>
      <c r="C172" s="2" t="s">
        <v>263</v>
      </c>
      <c r="D172" s="2" t="s">
        <v>54</v>
      </c>
      <c r="E172" s="2" t="s">
        <v>55</v>
      </c>
      <c r="F172" s="2" t="s">
        <v>56</v>
      </c>
      <c r="G172" s="2" t="s">
        <v>57</v>
      </c>
      <c r="H172" s="2" t="s">
        <v>37</v>
      </c>
      <c r="I172" s="12">
        <v>54500.19</v>
      </c>
      <c r="J172" s="4">
        <v>0</v>
      </c>
      <c r="K172" s="2" t="s">
        <v>26</v>
      </c>
      <c r="L172" s="2" t="s">
        <v>20</v>
      </c>
      <c r="M172" s="17" t="str">
        <f t="shared" si="6"/>
        <v>0</v>
      </c>
      <c r="N172" s="15">
        <f t="shared" si="7"/>
        <v>54500.19</v>
      </c>
      <c r="O172" t="str">
        <f t="shared" si="8"/>
        <v>Yes</v>
      </c>
    </row>
    <row r="173" spans="1:15" x14ac:dyDescent="0.3">
      <c r="A173" s="5" t="s">
        <v>275</v>
      </c>
      <c r="B173" s="6">
        <v>45392</v>
      </c>
      <c r="C173" s="5" t="s">
        <v>263</v>
      </c>
      <c r="D173" s="5" t="s">
        <v>14</v>
      </c>
      <c r="E173" s="5" t="s">
        <v>72</v>
      </c>
      <c r="F173" s="5" t="s">
        <v>73</v>
      </c>
      <c r="G173" s="5" t="s">
        <v>74</v>
      </c>
      <c r="H173" s="5" t="s">
        <v>18</v>
      </c>
      <c r="I173" s="14">
        <v>1116.69</v>
      </c>
      <c r="J173" s="7">
        <v>2000</v>
      </c>
      <c r="K173" s="5" t="s">
        <v>26</v>
      </c>
      <c r="L173" s="5" t="s">
        <v>27</v>
      </c>
      <c r="M173" s="17">
        <f t="shared" si="6"/>
        <v>-883.31</v>
      </c>
      <c r="N173" s="15">
        <f t="shared" si="7"/>
        <v>-1116.69</v>
      </c>
      <c r="O173" t="str">
        <f t="shared" si="8"/>
        <v>No</v>
      </c>
    </row>
    <row r="174" spans="1:15" x14ac:dyDescent="0.3">
      <c r="A174" s="2" t="s">
        <v>276</v>
      </c>
      <c r="B174" s="3">
        <v>45393</v>
      </c>
      <c r="C174" s="2" t="s">
        <v>263</v>
      </c>
      <c r="D174" s="2" t="s">
        <v>54</v>
      </c>
      <c r="E174" s="2" t="s">
        <v>87</v>
      </c>
      <c r="F174" s="2" t="s">
        <v>88</v>
      </c>
      <c r="G174" s="2" t="s">
        <v>89</v>
      </c>
      <c r="H174" s="2" t="s">
        <v>18</v>
      </c>
      <c r="I174" s="12">
        <v>6209.73</v>
      </c>
      <c r="J174" s="4">
        <v>0</v>
      </c>
      <c r="K174" s="2" t="s">
        <v>47</v>
      </c>
      <c r="L174" s="2" t="s">
        <v>27</v>
      </c>
      <c r="M174" s="17" t="str">
        <f t="shared" si="6"/>
        <v>0</v>
      </c>
      <c r="N174" s="15">
        <f t="shared" si="7"/>
        <v>6209.73</v>
      </c>
      <c r="O174" t="str">
        <f t="shared" si="8"/>
        <v>Yes</v>
      </c>
    </row>
    <row r="175" spans="1:15" x14ac:dyDescent="0.3">
      <c r="A175" s="5" t="s">
        <v>277</v>
      </c>
      <c r="B175" s="6">
        <v>45393</v>
      </c>
      <c r="C175" s="5" t="s">
        <v>263</v>
      </c>
      <c r="D175" s="5" t="s">
        <v>14</v>
      </c>
      <c r="E175" s="5" t="s">
        <v>15</v>
      </c>
      <c r="F175" s="5" t="s">
        <v>16</v>
      </c>
      <c r="G175" s="5" t="s">
        <v>17</v>
      </c>
      <c r="H175" s="5" t="s">
        <v>37</v>
      </c>
      <c r="I175" s="14">
        <v>12123.94</v>
      </c>
      <c r="J175" s="7">
        <v>12000</v>
      </c>
      <c r="K175" s="5" t="s">
        <v>47</v>
      </c>
      <c r="L175" s="5" t="s">
        <v>20</v>
      </c>
      <c r="M175" s="17">
        <f t="shared" si="6"/>
        <v>123.94000000000051</v>
      </c>
      <c r="N175" s="15">
        <f t="shared" si="7"/>
        <v>-12123.94</v>
      </c>
      <c r="O175" t="str">
        <f t="shared" si="8"/>
        <v>Yes</v>
      </c>
    </row>
    <row r="176" spans="1:15" x14ac:dyDescent="0.3">
      <c r="A176" s="2" t="s">
        <v>278</v>
      </c>
      <c r="B176" s="3">
        <v>45393</v>
      </c>
      <c r="C176" s="2" t="s">
        <v>263</v>
      </c>
      <c r="D176" s="2" t="s">
        <v>14</v>
      </c>
      <c r="E176" s="2" t="s">
        <v>49</v>
      </c>
      <c r="F176" s="2" t="s">
        <v>180</v>
      </c>
      <c r="G176" s="2" t="s">
        <v>181</v>
      </c>
      <c r="H176" s="2" t="s">
        <v>25</v>
      </c>
      <c r="I176" s="12">
        <v>3925.14</v>
      </c>
      <c r="J176" s="4">
        <v>3500</v>
      </c>
      <c r="K176" s="2" t="s">
        <v>26</v>
      </c>
      <c r="L176" s="2" t="s">
        <v>20</v>
      </c>
      <c r="M176" s="17">
        <f t="shared" si="6"/>
        <v>425.13999999999987</v>
      </c>
      <c r="N176" s="15">
        <f t="shared" si="7"/>
        <v>-3925.14</v>
      </c>
      <c r="O176" t="str">
        <f t="shared" si="8"/>
        <v>Yes</v>
      </c>
    </row>
    <row r="177" spans="1:15" x14ac:dyDescent="0.3">
      <c r="A177" s="5" t="s">
        <v>279</v>
      </c>
      <c r="B177" s="6">
        <v>45394</v>
      </c>
      <c r="C177" s="5" t="s">
        <v>263</v>
      </c>
      <c r="D177" s="5" t="s">
        <v>14</v>
      </c>
      <c r="E177" s="5" t="s">
        <v>44</v>
      </c>
      <c r="F177" s="5" t="s">
        <v>45</v>
      </c>
      <c r="G177" s="5" t="s">
        <v>46</v>
      </c>
      <c r="H177" s="5" t="s">
        <v>37</v>
      </c>
      <c r="I177" s="14">
        <v>15609.57</v>
      </c>
      <c r="J177" s="7">
        <v>15000</v>
      </c>
      <c r="K177" s="5" t="s">
        <v>26</v>
      </c>
      <c r="L177" s="5" t="s">
        <v>20</v>
      </c>
      <c r="M177" s="17">
        <f t="shared" si="6"/>
        <v>609.56999999999971</v>
      </c>
      <c r="N177" s="15">
        <f t="shared" si="7"/>
        <v>-15609.57</v>
      </c>
      <c r="O177" t="str">
        <f t="shared" si="8"/>
        <v>Yes</v>
      </c>
    </row>
    <row r="178" spans="1:15" x14ac:dyDescent="0.3">
      <c r="A178" s="2" t="s">
        <v>280</v>
      </c>
      <c r="B178" s="3">
        <v>45395</v>
      </c>
      <c r="C178" s="2" t="s">
        <v>263</v>
      </c>
      <c r="D178" s="2" t="s">
        <v>14</v>
      </c>
      <c r="E178" s="2" t="s">
        <v>34</v>
      </c>
      <c r="F178" s="2" t="s">
        <v>94</v>
      </c>
      <c r="G178" s="2" t="s">
        <v>95</v>
      </c>
      <c r="H178" s="2" t="s">
        <v>18</v>
      </c>
      <c r="I178" s="12">
        <v>2991.45</v>
      </c>
      <c r="J178" s="4">
        <v>4000</v>
      </c>
      <c r="K178" s="2" t="s">
        <v>38</v>
      </c>
      <c r="L178" s="2" t="s">
        <v>20</v>
      </c>
      <c r="M178" s="17">
        <f t="shared" si="6"/>
        <v>-1008.5500000000002</v>
      </c>
      <c r="N178" s="15">
        <f t="shared" si="7"/>
        <v>-2991.45</v>
      </c>
      <c r="O178" t="str">
        <f t="shared" si="8"/>
        <v>No</v>
      </c>
    </row>
    <row r="179" spans="1:15" x14ac:dyDescent="0.3">
      <c r="A179" s="5" t="s">
        <v>281</v>
      </c>
      <c r="B179" s="6">
        <v>45395</v>
      </c>
      <c r="C179" s="5" t="s">
        <v>263</v>
      </c>
      <c r="D179" s="5" t="s">
        <v>54</v>
      </c>
      <c r="E179" s="5" t="s">
        <v>55</v>
      </c>
      <c r="F179" s="5" t="s">
        <v>56</v>
      </c>
      <c r="G179" s="5" t="s">
        <v>57</v>
      </c>
      <c r="H179" s="5" t="s">
        <v>52</v>
      </c>
      <c r="I179" s="14">
        <v>45193.33</v>
      </c>
      <c r="J179" s="7">
        <v>0</v>
      </c>
      <c r="K179" s="5" t="s">
        <v>38</v>
      </c>
      <c r="L179" s="5" t="s">
        <v>20</v>
      </c>
      <c r="M179" s="17" t="str">
        <f t="shared" si="6"/>
        <v>0</v>
      </c>
      <c r="N179" s="15">
        <f t="shared" si="7"/>
        <v>45193.33</v>
      </c>
      <c r="O179" t="str">
        <f t="shared" si="8"/>
        <v>Yes</v>
      </c>
    </row>
    <row r="180" spans="1:15" x14ac:dyDescent="0.3">
      <c r="A180" s="2" t="s">
        <v>282</v>
      </c>
      <c r="B180" s="3">
        <v>45395</v>
      </c>
      <c r="C180" s="2" t="s">
        <v>263</v>
      </c>
      <c r="D180" s="2" t="s">
        <v>14</v>
      </c>
      <c r="E180" s="2" t="s">
        <v>29</v>
      </c>
      <c r="F180" s="2" t="s">
        <v>238</v>
      </c>
      <c r="G180" s="2" t="s">
        <v>239</v>
      </c>
      <c r="H180" s="2" t="s">
        <v>32</v>
      </c>
      <c r="I180" s="12">
        <v>1860.77</v>
      </c>
      <c r="J180" s="4">
        <v>3000</v>
      </c>
      <c r="K180" s="2" t="s">
        <v>26</v>
      </c>
      <c r="L180" s="2" t="s">
        <v>20</v>
      </c>
      <c r="M180" s="17">
        <f t="shared" si="6"/>
        <v>-1139.23</v>
      </c>
      <c r="N180" s="15">
        <f t="shared" si="7"/>
        <v>-1860.77</v>
      </c>
      <c r="O180" t="str">
        <f t="shared" si="8"/>
        <v>No</v>
      </c>
    </row>
    <row r="181" spans="1:15" x14ac:dyDescent="0.3">
      <c r="A181" s="5" t="s">
        <v>283</v>
      </c>
      <c r="B181" s="6">
        <v>45396</v>
      </c>
      <c r="C181" s="5" t="s">
        <v>263</v>
      </c>
      <c r="D181" s="5" t="s">
        <v>14</v>
      </c>
      <c r="E181" s="5" t="s">
        <v>112</v>
      </c>
      <c r="F181" s="5" t="s">
        <v>135</v>
      </c>
      <c r="G181" s="5" t="s">
        <v>136</v>
      </c>
      <c r="H181" s="5" t="s">
        <v>37</v>
      </c>
      <c r="I181" s="14">
        <v>8989.19</v>
      </c>
      <c r="J181" s="7">
        <v>8000</v>
      </c>
      <c r="K181" s="5" t="s">
        <v>38</v>
      </c>
      <c r="L181" s="5" t="s">
        <v>20</v>
      </c>
      <c r="M181" s="17">
        <f t="shared" si="6"/>
        <v>989.19000000000051</v>
      </c>
      <c r="N181" s="15">
        <f t="shared" si="7"/>
        <v>-8989.19</v>
      </c>
      <c r="O181" t="str">
        <f t="shared" si="8"/>
        <v>Yes</v>
      </c>
    </row>
    <row r="182" spans="1:15" x14ac:dyDescent="0.3">
      <c r="A182" s="2" t="s">
        <v>284</v>
      </c>
      <c r="B182" s="3">
        <v>45396</v>
      </c>
      <c r="C182" s="2" t="s">
        <v>263</v>
      </c>
      <c r="D182" s="2" t="s">
        <v>14</v>
      </c>
      <c r="E182" s="2" t="s">
        <v>15</v>
      </c>
      <c r="F182" s="2" t="s">
        <v>83</v>
      </c>
      <c r="G182" s="2" t="s">
        <v>84</v>
      </c>
      <c r="H182" s="2" t="s">
        <v>52</v>
      </c>
      <c r="I182" s="12">
        <v>8498.0499999999993</v>
      </c>
      <c r="J182" s="4">
        <v>12000</v>
      </c>
      <c r="K182" s="2" t="s">
        <v>19</v>
      </c>
      <c r="L182" s="2" t="s">
        <v>20</v>
      </c>
      <c r="M182" s="17">
        <f t="shared" si="6"/>
        <v>-3501.9500000000007</v>
      </c>
      <c r="N182" s="15">
        <f t="shared" si="7"/>
        <v>-8498.0499999999993</v>
      </c>
      <c r="O182" t="str">
        <f t="shared" si="8"/>
        <v>No</v>
      </c>
    </row>
    <row r="183" spans="1:15" x14ac:dyDescent="0.3">
      <c r="A183" s="5" t="s">
        <v>285</v>
      </c>
      <c r="B183" s="6">
        <v>45396</v>
      </c>
      <c r="C183" s="5" t="s">
        <v>263</v>
      </c>
      <c r="D183" s="5" t="s">
        <v>14</v>
      </c>
      <c r="E183" s="5" t="s">
        <v>44</v>
      </c>
      <c r="F183" s="5" t="s">
        <v>45</v>
      </c>
      <c r="G183" s="5" t="s">
        <v>46</v>
      </c>
      <c r="H183" s="5" t="s">
        <v>52</v>
      </c>
      <c r="I183" s="14">
        <v>18661.439999999999</v>
      </c>
      <c r="J183" s="7">
        <v>15000</v>
      </c>
      <c r="K183" s="5" t="s">
        <v>47</v>
      </c>
      <c r="L183" s="5" t="s">
        <v>20</v>
      </c>
      <c r="M183" s="17">
        <f t="shared" si="6"/>
        <v>3661.4399999999987</v>
      </c>
      <c r="N183" s="15">
        <f t="shared" si="7"/>
        <v>-18661.439999999999</v>
      </c>
      <c r="O183" t="str">
        <f t="shared" si="8"/>
        <v>Yes</v>
      </c>
    </row>
    <row r="184" spans="1:15" x14ac:dyDescent="0.3">
      <c r="A184" s="2" t="s">
        <v>286</v>
      </c>
      <c r="B184" s="3">
        <v>45396</v>
      </c>
      <c r="C184" s="2" t="s">
        <v>263</v>
      </c>
      <c r="D184" s="2" t="s">
        <v>14</v>
      </c>
      <c r="E184" s="2" t="s">
        <v>15</v>
      </c>
      <c r="F184" s="2" t="s">
        <v>60</v>
      </c>
      <c r="G184" s="2" t="s">
        <v>61</v>
      </c>
      <c r="H184" s="2" t="s">
        <v>25</v>
      </c>
      <c r="I184" s="12">
        <v>14625.61</v>
      </c>
      <c r="J184" s="4">
        <v>12000</v>
      </c>
      <c r="K184" s="2" t="s">
        <v>38</v>
      </c>
      <c r="L184" s="2" t="s">
        <v>20</v>
      </c>
      <c r="M184" s="17">
        <f t="shared" si="6"/>
        <v>2625.6100000000006</v>
      </c>
      <c r="N184" s="15">
        <f t="shared" si="7"/>
        <v>-14625.61</v>
      </c>
      <c r="O184" t="str">
        <f t="shared" si="8"/>
        <v>Yes</v>
      </c>
    </row>
    <row r="185" spans="1:15" x14ac:dyDescent="0.3">
      <c r="A185" s="5" t="s">
        <v>287</v>
      </c>
      <c r="B185" s="6">
        <v>45397</v>
      </c>
      <c r="C185" s="5" t="s">
        <v>263</v>
      </c>
      <c r="D185" s="5" t="s">
        <v>54</v>
      </c>
      <c r="E185" s="5" t="s">
        <v>55</v>
      </c>
      <c r="F185" s="5" t="s">
        <v>56</v>
      </c>
      <c r="G185" s="5" t="s">
        <v>57</v>
      </c>
      <c r="H185" s="5" t="s">
        <v>18</v>
      </c>
      <c r="I185" s="14">
        <v>46935.44</v>
      </c>
      <c r="J185" s="7">
        <v>0</v>
      </c>
      <c r="K185" s="5" t="s">
        <v>38</v>
      </c>
      <c r="L185" s="5" t="s">
        <v>20</v>
      </c>
      <c r="M185" s="17" t="str">
        <f t="shared" si="6"/>
        <v>0</v>
      </c>
      <c r="N185" s="15">
        <f t="shared" si="7"/>
        <v>46935.44</v>
      </c>
      <c r="O185" t="str">
        <f t="shared" si="8"/>
        <v>Yes</v>
      </c>
    </row>
    <row r="186" spans="1:15" x14ac:dyDescent="0.3">
      <c r="A186" s="2" t="s">
        <v>288</v>
      </c>
      <c r="B186" s="3">
        <v>45397</v>
      </c>
      <c r="C186" s="2" t="s">
        <v>263</v>
      </c>
      <c r="D186" s="2" t="s">
        <v>14</v>
      </c>
      <c r="E186" s="2" t="s">
        <v>112</v>
      </c>
      <c r="F186" s="2" t="s">
        <v>113</v>
      </c>
      <c r="G186" s="2" t="s">
        <v>114</v>
      </c>
      <c r="H186" s="2" t="s">
        <v>18</v>
      </c>
      <c r="I186" s="12">
        <v>9853.89</v>
      </c>
      <c r="J186" s="4">
        <v>8000</v>
      </c>
      <c r="K186" s="2" t="s">
        <v>26</v>
      </c>
      <c r="L186" s="2" t="s">
        <v>20</v>
      </c>
      <c r="M186" s="17">
        <f t="shared" si="6"/>
        <v>1853.8899999999994</v>
      </c>
      <c r="N186" s="15">
        <f t="shared" si="7"/>
        <v>-9853.89</v>
      </c>
      <c r="O186" t="str">
        <f t="shared" si="8"/>
        <v>Yes</v>
      </c>
    </row>
    <row r="187" spans="1:15" x14ac:dyDescent="0.3">
      <c r="A187" s="5" t="s">
        <v>289</v>
      </c>
      <c r="B187" s="6">
        <v>45397</v>
      </c>
      <c r="C187" s="5" t="s">
        <v>263</v>
      </c>
      <c r="D187" s="5" t="s">
        <v>14</v>
      </c>
      <c r="E187" s="5" t="s">
        <v>29</v>
      </c>
      <c r="F187" s="5" t="s">
        <v>30</v>
      </c>
      <c r="G187" s="5" t="s">
        <v>31</v>
      </c>
      <c r="H187" s="5" t="s">
        <v>52</v>
      </c>
      <c r="I187" s="14">
        <v>1600.85</v>
      </c>
      <c r="J187" s="7">
        <v>3000</v>
      </c>
      <c r="K187" s="5" t="s">
        <v>26</v>
      </c>
      <c r="L187" s="5" t="s">
        <v>20</v>
      </c>
      <c r="M187" s="17">
        <f t="shared" si="6"/>
        <v>-1399.15</v>
      </c>
      <c r="N187" s="15">
        <f t="shared" si="7"/>
        <v>-1600.85</v>
      </c>
      <c r="O187" t="str">
        <f t="shared" si="8"/>
        <v>No</v>
      </c>
    </row>
    <row r="188" spans="1:15" x14ac:dyDescent="0.3">
      <c r="A188" s="2" t="s">
        <v>290</v>
      </c>
      <c r="B188" s="3">
        <v>45398</v>
      </c>
      <c r="C188" s="2" t="s">
        <v>263</v>
      </c>
      <c r="D188" s="2" t="s">
        <v>14</v>
      </c>
      <c r="E188" s="2" t="s">
        <v>104</v>
      </c>
      <c r="F188" s="2" t="s">
        <v>184</v>
      </c>
      <c r="G188" s="2" t="s">
        <v>185</v>
      </c>
      <c r="H188" s="2" t="s">
        <v>32</v>
      </c>
      <c r="I188" s="12">
        <v>2598.3000000000002</v>
      </c>
      <c r="J188" s="4">
        <v>2000</v>
      </c>
      <c r="K188" s="2" t="s">
        <v>38</v>
      </c>
      <c r="L188" s="2" t="s">
        <v>27</v>
      </c>
      <c r="M188" s="17">
        <f t="shared" si="6"/>
        <v>598.30000000000018</v>
      </c>
      <c r="N188" s="15">
        <f t="shared" si="7"/>
        <v>-2598.3000000000002</v>
      </c>
      <c r="O188" t="str">
        <f t="shared" si="8"/>
        <v>Yes</v>
      </c>
    </row>
    <row r="189" spans="1:15" x14ac:dyDescent="0.3">
      <c r="A189" s="5" t="s">
        <v>291</v>
      </c>
      <c r="B189" s="6">
        <v>45398</v>
      </c>
      <c r="C189" s="5" t="s">
        <v>263</v>
      </c>
      <c r="D189" s="5" t="s">
        <v>14</v>
      </c>
      <c r="E189" s="5" t="s">
        <v>44</v>
      </c>
      <c r="F189" s="5" t="s">
        <v>45</v>
      </c>
      <c r="G189" s="5" t="s">
        <v>46</v>
      </c>
      <c r="H189" s="5" t="s">
        <v>25</v>
      </c>
      <c r="I189" s="14">
        <v>17889.12</v>
      </c>
      <c r="J189" s="7">
        <v>15000</v>
      </c>
      <c r="K189" s="5" t="s">
        <v>38</v>
      </c>
      <c r="L189" s="5" t="s">
        <v>20</v>
      </c>
      <c r="M189" s="17">
        <f t="shared" si="6"/>
        <v>2889.119999999999</v>
      </c>
      <c r="N189" s="15">
        <f t="shared" si="7"/>
        <v>-17889.12</v>
      </c>
      <c r="O189" t="str">
        <f t="shared" si="8"/>
        <v>Yes</v>
      </c>
    </row>
    <row r="190" spans="1:15" x14ac:dyDescent="0.3">
      <c r="A190" s="2" t="s">
        <v>292</v>
      </c>
      <c r="B190" s="3">
        <v>45398</v>
      </c>
      <c r="C190" s="2" t="s">
        <v>263</v>
      </c>
      <c r="D190" s="2" t="s">
        <v>14</v>
      </c>
      <c r="E190" s="2" t="s">
        <v>22</v>
      </c>
      <c r="F190" s="2" t="s">
        <v>66</v>
      </c>
      <c r="G190" s="2" t="s">
        <v>67</v>
      </c>
      <c r="H190" s="2" t="s">
        <v>37</v>
      </c>
      <c r="I190" s="12">
        <v>1461.06</v>
      </c>
      <c r="J190" s="4">
        <v>2500</v>
      </c>
      <c r="K190" s="2" t="s">
        <v>19</v>
      </c>
      <c r="L190" s="2" t="s">
        <v>27</v>
      </c>
      <c r="M190" s="17">
        <f t="shared" si="6"/>
        <v>-1038.94</v>
      </c>
      <c r="N190" s="15">
        <f t="shared" si="7"/>
        <v>-1461.06</v>
      </c>
      <c r="O190" t="str">
        <f t="shared" si="8"/>
        <v>No</v>
      </c>
    </row>
    <row r="191" spans="1:15" x14ac:dyDescent="0.3">
      <c r="A191" s="5" t="s">
        <v>293</v>
      </c>
      <c r="B191" s="6">
        <v>45400</v>
      </c>
      <c r="C191" s="5" t="s">
        <v>263</v>
      </c>
      <c r="D191" s="5" t="s">
        <v>14</v>
      </c>
      <c r="E191" s="5" t="s">
        <v>104</v>
      </c>
      <c r="F191" s="5" t="s">
        <v>105</v>
      </c>
      <c r="G191" s="5" t="s">
        <v>106</v>
      </c>
      <c r="H191" s="5" t="s">
        <v>37</v>
      </c>
      <c r="I191" s="14">
        <v>2470.4</v>
      </c>
      <c r="J191" s="7">
        <v>2000</v>
      </c>
      <c r="K191" s="5" t="s">
        <v>26</v>
      </c>
      <c r="L191" s="5" t="s">
        <v>20</v>
      </c>
      <c r="M191" s="17">
        <f t="shared" si="6"/>
        <v>470.40000000000009</v>
      </c>
      <c r="N191" s="15">
        <f t="shared" si="7"/>
        <v>-2470.4</v>
      </c>
      <c r="O191" t="str">
        <f t="shared" si="8"/>
        <v>Yes</v>
      </c>
    </row>
    <row r="192" spans="1:15" x14ac:dyDescent="0.3">
      <c r="A192" s="2" t="s">
        <v>294</v>
      </c>
      <c r="B192" s="3">
        <v>45400</v>
      </c>
      <c r="C192" s="2" t="s">
        <v>263</v>
      </c>
      <c r="D192" s="2" t="s">
        <v>14</v>
      </c>
      <c r="E192" s="2" t="s">
        <v>44</v>
      </c>
      <c r="F192" s="2" t="s">
        <v>45</v>
      </c>
      <c r="G192" s="2" t="s">
        <v>46</v>
      </c>
      <c r="H192" s="2" t="s">
        <v>18</v>
      </c>
      <c r="I192" s="12">
        <v>15497.61</v>
      </c>
      <c r="J192" s="4">
        <v>15000</v>
      </c>
      <c r="K192" s="2" t="s">
        <v>47</v>
      </c>
      <c r="L192" s="2" t="s">
        <v>20</v>
      </c>
      <c r="M192" s="17">
        <f t="shared" si="6"/>
        <v>497.61000000000058</v>
      </c>
      <c r="N192" s="15">
        <f t="shared" si="7"/>
        <v>-15497.61</v>
      </c>
      <c r="O192" t="str">
        <f t="shared" si="8"/>
        <v>Yes</v>
      </c>
    </row>
    <row r="193" spans="1:15" x14ac:dyDescent="0.3">
      <c r="A193" s="5" t="s">
        <v>295</v>
      </c>
      <c r="B193" s="6">
        <v>45401</v>
      </c>
      <c r="C193" s="5" t="s">
        <v>263</v>
      </c>
      <c r="D193" s="5" t="s">
        <v>14</v>
      </c>
      <c r="E193" s="5" t="s">
        <v>49</v>
      </c>
      <c r="F193" s="5" t="s">
        <v>50</v>
      </c>
      <c r="G193" s="5" t="s">
        <v>51</v>
      </c>
      <c r="H193" s="5" t="s">
        <v>18</v>
      </c>
      <c r="I193" s="14">
        <v>2342.6</v>
      </c>
      <c r="J193" s="7">
        <v>3500</v>
      </c>
      <c r="K193" s="5" t="s">
        <v>26</v>
      </c>
      <c r="L193" s="5" t="s">
        <v>27</v>
      </c>
      <c r="M193" s="17">
        <f t="shared" si="6"/>
        <v>-1157.4000000000001</v>
      </c>
      <c r="N193" s="15">
        <f t="shared" si="7"/>
        <v>-2342.6</v>
      </c>
      <c r="O193" t="str">
        <f t="shared" si="8"/>
        <v>No</v>
      </c>
    </row>
    <row r="194" spans="1:15" x14ac:dyDescent="0.3">
      <c r="A194" s="2" t="s">
        <v>296</v>
      </c>
      <c r="B194" s="3">
        <v>45401</v>
      </c>
      <c r="C194" s="2" t="s">
        <v>263</v>
      </c>
      <c r="D194" s="2" t="s">
        <v>14</v>
      </c>
      <c r="E194" s="2" t="s">
        <v>22</v>
      </c>
      <c r="F194" s="2" t="s">
        <v>66</v>
      </c>
      <c r="G194" s="2" t="s">
        <v>67</v>
      </c>
      <c r="H194" s="2" t="s">
        <v>18</v>
      </c>
      <c r="I194" s="12">
        <v>2972.7</v>
      </c>
      <c r="J194" s="4">
        <v>2500</v>
      </c>
      <c r="K194" s="2" t="s">
        <v>47</v>
      </c>
      <c r="L194" s="2" t="s">
        <v>20</v>
      </c>
      <c r="M194" s="17">
        <f t="shared" si="6"/>
        <v>472.69999999999982</v>
      </c>
      <c r="N194" s="15">
        <f t="shared" si="7"/>
        <v>-2972.7</v>
      </c>
      <c r="O194" t="str">
        <f t="shared" si="8"/>
        <v>Yes</v>
      </c>
    </row>
    <row r="195" spans="1:15" x14ac:dyDescent="0.3">
      <c r="A195" s="5" t="s">
        <v>297</v>
      </c>
      <c r="B195" s="6">
        <v>45401</v>
      </c>
      <c r="C195" s="5" t="s">
        <v>263</v>
      </c>
      <c r="D195" s="5" t="s">
        <v>14</v>
      </c>
      <c r="E195" s="5" t="s">
        <v>72</v>
      </c>
      <c r="F195" s="5" t="s">
        <v>73</v>
      </c>
      <c r="G195" s="5" t="s">
        <v>74</v>
      </c>
      <c r="H195" s="5" t="s">
        <v>37</v>
      </c>
      <c r="I195" s="14">
        <v>1707.55</v>
      </c>
      <c r="J195" s="7">
        <v>2000</v>
      </c>
      <c r="K195" s="5" t="s">
        <v>26</v>
      </c>
      <c r="L195" s="5" t="s">
        <v>27</v>
      </c>
      <c r="M195" s="17">
        <f t="shared" ref="M195:M258" si="9">IF(J195=0,"0",I195-J195)</f>
        <v>-292.45000000000005</v>
      </c>
      <c r="N195" s="15">
        <f t="shared" ref="N195:N258" si="10">IF(D195="Income",I195,-I195)</f>
        <v>-1707.55</v>
      </c>
      <c r="O195" t="str">
        <f t="shared" ref="O195:O258" si="11">IF(M195&gt;0,"Yes","No")</f>
        <v>No</v>
      </c>
    </row>
    <row r="196" spans="1:15" x14ac:dyDescent="0.3">
      <c r="A196" s="2" t="s">
        <v>298</v>
      </c>
      <c r="B196" s="3">
        <v>45401</v>
      </c>
      <c r="C196" s="2" t="s">
        <v>263</v>
      </c>
      <c r="D196" s="2" t="s">
        <v>14</v>
      </c>
      <c r="E196" s="2" t="s">
        <v>29</v>
      </c>
      <c r="F196" s="2" t="s">
        <v>80</v>
      </c>
      <c r="G196" s="2" t="s">
        <v>81</v>
      </c>
      <c r="H196" s="2" t="s">
        <v>18</v>
      </c>
      <c r="I196" s="12">
        <v>3607.02</v>
      </c>
      <c r="J196" s="4">
        <v>3000</v>
      </c>
      <c r="K196" s="2" t="s">
        <v>19</v>
      </c>
      <c r="L196" s="2" t="s">
        <v>20</v>
      </c>
      <c r="M196" s="17">
        <f t="shared" si="9"/>
        <v>607.02</v>
      </c>
      <c r="N196" s="15">
        <f t="shared" si="10"/>
        <v>-3607.02</v>
      </c>
      <c r="O196" t="str">
        <f t="shared" si="11"/>
        <v>Yes</v>
      </c>
    </row>
    <row r="197" spans="1:15" x14ac:dyDescent="0.3">
      <c r="A197" s="5" t="s">
        <v>299</v>
      </c>
      <c r="B197" s="6">
        <v>45401</v>
      </c>
      <c r="C197" s="5" t="s">
        <v>263</v>
      </c>
      <c r="D197" s="5" t="s">
        <v>14</v>
      </c>
      <c r="E197" s="5" t="s">
        <v>40</v>
      </c>
      <c r="F197" s="5" t="s">
        <v>41</v>
      </c>
      <c r="G197" s="5" t="s">
        <v>42</v>
      </c>
      <c r="H197" s="5" t="s">
        <v>32</v>
      </c>
      <c r="I197" s="14">
        <v>6205.49</v>
      </c>
      <c r="J197" s="7">
        <v>6000</v>
      </c>
      <c r="K197" s="5" t="s">
        <v>38</v>
      </c>
      <c r="L197" s="5" t="s">
        <v>20</v>
      </c>
      <c r="M197" s="17">
        <f t="shared" si="9"/>
        <v>205.48999999999978</v>
      </c>
      <c r="N197" s="15">
        <f t="shared" si="10"/>
        <v>-6205.49</v>
      </c>
      <c r="O197" t="str">
        <f t="shared" si="11"/>
        <v>Yes</v>
      </c>
    </row>
    <row r="198" spans="1:15" x14ac:dyDescent="0.3">
      <c r="A198" s="2" t="s">
        <v>300</v>
      </c>
      <c r="B198" s="3">
        <v>45402</v>
      </c>
      <c r="C198" s="2" t="s">
        <v>263</v>
      </c>
      <c r="D198" s="2" t="s">
        <v>14</v>
      </c>
      <c r="E198" s="2" t="s">
        <v>104</v>
      </c>
      <c r="F198" s="2" t="s">
        <v>184</v>
      </c>
      <c r="G198" s="2" t="s">
        <v>185</v>
      </c>
      <c r="H198" s="2" t="s">
        <v>18</v>
      </c>
      <c r="I198" s="12">
        <v>1314.64</v>
      </c>
      <c r="J198" s="4">
        <v>2000</v>
      </c>
      <c r="K198" s="2" t="s">
        <v>38</v>
      </c>
      <c r="L198" s="2" t="s">
        <v>27</v>
      </c>
      <c r="M198" s="17">
        <f t="shared" si="9"/>
        <v>-685.3599999999999</v>
      </c>
      <c r="N198" s="15">
        <f t="shared" si="10"/>
        <v>-1314.64</v>
      </c>
      <c r="O198" t="str">
        <f t="shared" si="11"/>
        <v>No</v>
      </c>
    </row>
    <row r="199" spans="1:15" x14ac:dyDescent="0.3">
      <c r="A199" s="5" t="s">
        <v>301</v>
      </c>
      <c r="B199" s="6">
        <v>45403</v>
      </c>
      <c r="C199" s="5" t="s">
        <v>263</v>
      </c>
      <c r="D199" s="5" t="s">
        <v>54</v>
      </c>
      <c r="E199" s="5" t="s">
        <v>55</v>
      </c>
      <c r="F199" s="5" t="s">
        <v>56</v>
      </c>
      <c r="G199" s="5" t="s">
        <v>57</v>
      </c>
      <c r="H199" s="5" t="s">
        <v>37</v>
      </c>
      <c r="I199" s="14">
        <v>43190.01</v>
      </c>
      <c r="J199" s="7">
        <v>0</v>
      </c>
      <c r="K199" s="5" t="s">
        <v>19</v>
      </c>
      <c r="L199" s="5" t="s">
        <v>20</v>
      </c>
      <c r="M199" s="17" t="str">
        <f t="shared" si="9"/>
        <v>0</v>
      </c>
      <c r="N199" s="15">
        <f t="shared" si="10"/>
        <v>43190.01</v>
      </c>
      <c r="O199" t="str">
        <f t="shared" si="11"/>
        <v>Yes</v>
      </c>
    </row>
    <row r="200" spans="1:15" x14ac:dyDescent="0.3">
      <c r="A200" s="2" t="s">
        <v>302</v>
      </c>
      <c r="B200" s="3">
        <v>45403</v>
      </c>
      <c r="C200" s="2" t="s">
        <v>263</v>
      </c>
      <c r="D200" s="2" t="s">
        <v>14</v>
      </c>
      <c r="E200" s="2" t="s">
        <v>22</v>
      </c>
      <c r="F200" s="2" t="s">
        <v>154</v>
      </c>
      <c r="G200" s="2" t="s">
        <v>155</v>
      </c>
      <c r="H200" s="2" t="s">
        <v>18</v>
      </c>
      <c r="I200" s="12">
        <v>1356.57</v>
      </c>
      <c r="J200" s="4">
        <v>2500</v>
      </c>
      <c r="K200" s="2" t="s">
        <v>26</v>
      </c>
      <c r="L200" s="2" t="s">
        <v>27</v>
      </c>
      <c r="M200" s="17">
        <f t="shared" si="9"/>
        <v>-1143.43</v>
      </c>
      <c r="N200" s="15">
        <f t="shared" si="10"/>
        <v>-1356.57</v>
      </c>
      <c r="O200" t="str">
        <f t="shared" si="11"/>
        <v>No</v>
      </c>
    </row>
    <row r="201" spans="1:15" x14ac:dyDescent="0.3">
      <c r="A201" s="5" t="s">
        <v>303</v>
      </c>
      <c r="B201" s="6">
        <v>45405</v>
      </c>
      <c r="C201" s="5" t="s">
        <v>263</v>
      </c>
      <c r="D201" s="5" t="s">
        <v>14</v>
      </c>
      <c r="E201" s="5" t="s">
        <v>15</v>
      </c>
      <c r="F201" s="5" t="s">
        <v>83</v>
      </c>
      <c r="G201" s="5" t="s">
        <v>84</v>
      </c>
      <c r="H201" s="5" t="s">
        <v>37</v>
      </c>
      <c r="I201" s="14">
        <v>12904.42</v>
      </c>
      <c r="J201" s="7">
        <v>12000</v>
      </c>
      <c r="K201" s="5" t="s">
        <v>38</v>
      </c>
      <c r="L201" s="5" t="s">
        <v>20</v>
      </c>
      <c r="M201" s="17">
        <f t="shared" si="9"/>
        <v>904.42000000000007</v>
      </c>
      <c r="N201" s="15">
        <f t="shared" si="10"/>
        <v>-12904.42</v>
      </c>
      <c r="O201" t="str">
        <f t="shared" si="11"/>
        <v>Yes</v>
      </c>
    </row>
    <row r="202" spans="1:15" x14ac:dyDescent="0.3">
      <c r="A202" s="2" t="s">
        <v>304</v>
      </c>
      <c r="B202" s="3">
        <v>45405</v>
      </c>
      <c r="C202" s="2" t="s">
        <v>263</v>
      </c>
      <c r="D202" s="2" t="s">
        <v>14</v>
      </c>
      <c r="E202" s="2" t="s">
        <v>104</v>
      </c>
      <c r="F202" s="2" t="s">
        <v>184</v>
      </c>
      <c r="G202" s="2" t="s">
        <v>185</v>
      </c>
      <c r="H202" s="2" t="s">
        <v>18</v>
      </c>
      <c r="I202" s="12">
        <v>1955.93</v>
      </c>
      <c r="J202" s="4">
        <v>2000</v>
      </c>
      <c r="K202" s="2" t="s">
        <v>19</v>
      </c>
      <c r="L202" s="2" t="s">
        <v>27</v>
      </c>
      <c r="M202" s="17">
        <f t="shared" si="9"/>
        <v>-44.069999999999936</v>
      </c>
      <c r="N202" s="15">
        <f t="shared" si="10"/>
        <v>-1955.93</v>
      </c>
      <c r="O202" t="str">
        <f t="shared" si="11"/>
        <v>No</v>
      </c>
    </row>
    <row r="203" spans="1:15" x14ac:dyDescent="0.3">
      <c r="A203" s="5" t="s">
        <v>305</v>
      </c>
      <c r="B203" s="6">
        <v>45406</v>
      </c>
      <c r="C203" s="5" t="s">
        <v>263</v>
      </c>
      <c r="D203" s="5" t="s">
        <v>14</v>
      </c>
      <c r="E203" s="5" t="s">
        <v>34</v>
      </c>
      <c r="F203" s="5" t="s">
        <v>94</v>
      </c>
      <c r="G203" s="5" t="s">
        <v>95</v>
      </c>
      <c r="H203" s="5" t="s">
        <v>18</v>
      </c>
      <c r="I203" s="14">
        <v>2276.65</v>
      </c>
      <c r="J203" s="7">
        <v>4000</v>
      </c>
      <c r="K203" s="5" t="s">
        <v>38</v>
      </c>
      <c r="L203" s="5" t="s">
        <v>27</v>
      </c>
      <c r="M203" s="17">
        <f t="shared" si="9"/>
        <v>-1723.35</v>
      </c>
      <c r="N203" s="15">
        <f t="shared" si="10"/>
        <v>-2276.65</v>
      </c>
      <c r="O203" t="str">
        <f t="shared" si="11"/>
        <v>No</v>
      </c>
    </row>
    <row r="204" spans="1:15" x14ac:dyDescent="0.3">
      <c r="A204" s="2" t="s">
        <v>306</v>
      </c>
      <c r="B204" s="3">
        <v>45406</v>
      </c>
      <c r="C204" s="2" t="s">
        <v>263</v>
      </c>
      <c r="D204" s="2" t="s">
        <v>14</v>
      </c>
      <c r="E204" s="2" t="s">
        <v>15</v>
      </c>
      <c r="F204" s="2" t="s">
        <v>83</v>
      </c>
      <c r="G204" s="2" t="s">
        <v>84</v>
      </c>
      <c r="H204" s="2" t="s">
        <v>52</v>
      </c>
      <c r="I204" s="12">
        <v>9738.68</v>
      </c>
      <c r="J204" s="4">
        <v>12000</v>
      </c>
      <c r="K204" s="2" t="s">
        <v>26</v>
      </c>
      <c r="L204" s="2" t="s">
        <v>20</v>
      </c>
      <c r="M204" s="17">
        <f t="shared" si="9"/>
        <v>-2261.3199999999997</v>
      </c>
      <c r="N204" s="15">
        <f t="shared" si="10"/>
        <v>-9738.68</v>
      </c>
      <c r="O204" t="str">
        <f t="shared" si="11"/>
        <v>No</v>
      </c>
    </row>
    <row r="205" spans="1:15" x14ac:dyDescent="0.3">
      <c r="A205" s="5" t="s">
        <v>307</v>
      </c>
      <c r="B205" s="6">
        <v>45407</v>
      </c>
      <c r="C205" s="5" t="s">
        <v>263</v>
      </c>
      <c r="D205" s="5" t="s">
        <v>14</v>
      </c>
      <c r="E205" s="5" t="s">
        <v>112</v>
      </c>
      <c r="F205" s="5" t="s">
        <v>193</v>
      </c>
      <c r="G205" s="5" t="s">
        <v>194</v>
      </c>
      <c r="H205" s="5" t="s">
        <v>18</v>
      </c>
      <c r="I205" s="14">
        <v>6036.4</v>
      </c>
      <c r="J205" s="7">
        <v>8000</v>
      </c>
      <c r="K205" s="5" t="s">
        <v>38</v>
      </c>
      <c r="L205" s="5" t="s">
        <v>20</v>
      </c>
      <c r="M205" s="17">
        <f t="shared" si="9"/>
        <v>-1963.6000000000004</v>
      </c>
      <c r="N205" s="15">
        <f t="shared" si="10"/>
        <v>-6036.4</v>
      </c>
      <c r="O205" t="str">
        <f t="shared" si="11"/>
        <v>No</v>
      </c>
    </row>
    <row r="206" spans="1:15" x14ac:dyDescent="0.3">
      <c r="A206" s="2" t="s">
        <v>308</v>
      </c>
      <c r="B206" s="3">
        <v>45408</v>
      </c>
      <c r="C206" s="2" t="s">
        <v>263</v>
      </c>
      <c r="D206" s="2" t="s">
        <v>14</v>
      </c>
      <c r="E206" s="2" t="s">
        <v>104</v>
      </c>
      <c r="F206" s="2" t="s">
        <v>163</v>
      </c>
      <c r="G206" s="2" t="s">
        <v>164</v>
      </c>
      <c r="H206" s="2" t="s">
        <v>25</v>
      </c>
      <c r="I206" s="12">
        <v>2391.58</v>
      </c>
      <c r="J206" s="4">
        <v>2000</v>
      </c>
      <c r="K206" s="2" t="s">
        <v>47</v>
      </c>
      <c r="L206" s="2" t="s">
        <v>27</v>
      </c>
      <c r="M206" s="17">
        <f t="shared" si="9"/>
        <v>391.57999999999993</v>
      </c>
      <c r="N206" s="15">
        <f t="shared" si="10"/>
        <v>-2391.58</v>
      </c>
      <c r="O206" t="str">
        <f t="shared" si="11"/>
        <v>Yes</v>
      </c>
    </row>
    <row r="207" spans="1:15" x14ac:dyDescent="0.3">
      <c r="A207" s="5" t="s">
        <v>309</v>
      </c>
      <c r="B207" s="6">
        <v>45408</v>
      </c>
      <c r="C207" s="5" t="s">
        <v>263</v>
      </c>
      <c r="D207" s="5" t="s">
        <v>14</v>
      </c>
      <c r="E207" s="5" t="s">
        <v>29</v>
      </c>
      <c r="F207" s="5" t="s">
        <v>109</v>
      </c>
      <c r="G207" s="5" t="s">
        <v>110</v>
      </c>
      <c r="H207" s="5" t="s">
        <v>25</v>
      </c>
      <c r="I207" s="14">
        <v>3197.32</v>
      </c>
      <c r="J207" s="7">
        <v>3000</v>
      </c>
      <c r="K207" s="5" t="s">
        <v>19</v>
      </c>
      <c r="L207" s="5" t="s">
        <v>20</v>
      </c>
      <c r="M207" s="17">
        <f t="shared" si="9"/>
        <v>197.32000000000016</v>
      </c>
      <c r="N207" s="15">
        <f t="shared" si="10"/>
        <v>-3197.32</v>
      </c>
      <c r="O207" t="str">
        <f t="shared" si="11"/>
        <v>Yes</v>
      </c>
    </row>
    <row r="208" spans="1:15" x14ac:dyDescent="0.3">
      <c r="A208" s="2" t="s">
        <v>310</v>
      </c>
      <c r="B208" s="3">
        <v>45408</v>
      </c>
      <c r="C208" s="2" t="s">
        <v>263</v>
      </c>
      <c r="D208" s="2" t="s">
        <v>14</v>
      </c>
      <c r="E208" s="2" t="s">
        <v>29</v>
      </c>
      <c r="F208" s="2" t="s">
        <v>80</v>
      </c>
      <c r="G208" s="2" t="s">
        <v>81</v>
      </c>
      <c r="H208" s="2" t="s">
        <v>18</v>
      </c>
      <c r="I208" s="12">
        <v>3490.88</v>
      </c>
      <c r="J208" s="4">
        <v>3000</v>
      </c>
      <c r="K208" s="2" t="s">
        <v>19</v>
      </c>
      <c r="L208" s="2" t="s">
        <v>20</v>
      </c>
      <c r="M208" s="17">
        <f t="shared" si="9"/>
        <v>490.88000000000011</v>
      </c>
      <c r="N208" s="15">
        <f t="shared" si="10"/>
        <v>-3490.88</v>
      </c>
      <c r="O208" t="str">
        <f t="shared" si="11"/>
        <v>Yes</v>
      </c>
    </row>
    <row r="209" spans="1:15" x14ac:dyDescent="0.3">
      <c r="A209" s="5" t="s">
        <v>311</v>
      </c>
      <c r="B209" s="6">
        <v>45408</v>
      </c>
      <c r="C209" s="5" t="s">
        <v>263</v>
      </c>
      <c r="D209" s="5" t="s">
        <v>14</v>
      </c>
      <c r="E209" s="5" t="s">
        <v>112</v>
      </c>
      <c r="F209" s="5" t="s">
        <v>135</v>
      </c>
      <c r="G209" s="5" t="s">
        <v>136</v>
      </c>
      <c r="H209" s="5" t="s">
        <v>18</v>
      </c>
      <c r="I209" s="14">
        <v>8252.7199999999993</v>
      </c>
      <c r="J209" s="7">
        <v>8000</v>
      </c>
      <c r="K209" s="5" t="s">
        <v>38</v>
      </c>
      <c r="L209" s="5" t="s">
        <v>20</v>
      </c>
      <c r="M209" s="17">
        <f t="shared" si="9"/>
        <v>252.71999999999935</v>
      </c>
      <c r="N209" s="15">
        <f t="shared" si="10"/>
        <v>-8252.7199999999993</v>
      </c>
      <c r="O209" t="str">
        <f t="shared" si="11"/>
        <v>Yes</v>
      </c>
    </row>
    <row r="210" spans="1:15" x14ac:dyDescent="0.3">
      <c r="A210" s="2" t="s">
        <v>312</v>
      </c>
      <c r="B210" s="3">
        <v>45409</v>
      </c>
      <c r="C210" s="2" t="s">
        <v>263</v>
      </c>
      <c r="D210" s="2" t="s">
        <v>14</v>
      </c>
      <c r="E210" s="2" t="s">
        <v>49</v>
      </c>
      <c r="F210" s="2" t="s">
        <v>50</v>
      </c>
      <c r="G210" s="2" t="s">
        <v>51</v>
      </c>
      <c r="H210" s="2" t="s">
        <v>37</v>
      </c>
      <c r="I210" s="12">
        <v>3630.67</v>
      </c>
      <c r="J210" s="4">
        <v>3500</v>
      </c>
      <c r="K210" s="2" t="s">
        <v>38</v>
      </c>
      <c r="L210" s="2" t="s">
        <v>27</v>
      </c>
      <c r="M210" s="17">
        <f t="shared" si="9"/>
        <v>130.67000000000007</v>
      </c>
      <c r="N210" s="15">
        <f t="shared" si="10"/>
        <v>-3630.67</v>
      </c>
      <c r="O210" t="str">
        <f t="shared" si="11"/>
        <v>Yes</v>
      </c>
    </row>
    <row r="211" spans="1:15" x14ac:dyDescent="0.3">
      <c r="A211" s="5" t="s">
        <v>313</v>
      </c>
      <c r="B211" s="6">
        <v>45410</v>
      </c>
      <c r="C211" s="5" t="s">
        <v>263</v>
      </c>
      <c r="D211" s="5" t="s">
        <v>54</v>
      </c>
      <c r="E211" s="5" t="s">
        <v>209</v>
      </c>
      <c r="F211" s="5" t="s">
        <v>314</v>
      </c>
      <c r="G211" s="5" t="s">
        <v>315</v>
      </c>
      <c r="H211" s="5" t="s">
        <v>25</v>
      </c>
      <c r="I211" s="14">
        <v>1763.19</v>
      </c>
      <c r="J211" s="7">
        <v>0</v>
      </c>
      <c r="K211" s="5" t="s">
        <v>19</v>
      </c>
      <c r="L211" s="5" t="s">
        <v>27</v>
      </c>
      <c r="M211" s="17" t="str">
        <f t="shared" si="9"/>
        <v>0</v>
      </c>
      <c r="N211" s="15">
        <f t="shared" si="10"/>
        <v>1763.19</v>
      </c>
      <c r="O211" t="str">
        <f t="shared" si="11"/>
        <v>Yes</v>
      </c>
    </row>
    <row r="212" spans="1:15" x14ac:dyDescent="0.3">
      <c r="A212" s="2" t="s">
        <v>316</v>
      </c>
      <c r="B212" s="3">
        <v>45410</v>
      </c>
      <c r="C212" s="2" t="s">
        <v>263</v>
      </c>
      <c r="D212" s="2" t="s">
        <v>14</v>
      </c>
      <c r="E212" s="2" t="s">
        <v>15</v>
      </c>
      <c r="F212" s="2" t="s">
        <v>60</v>
      </c>
      <c r="G212" s="2" t="s">
        <v>61</v>
      </c>
      <c r="H212" s="2" t="s">
        <v>18</v>
      </c>
      <c r="I212" s="12">
        <v>9288.2800000000007</v>
      </c>
      <c r="J212" s="4">
        <v>12000</v>
      </c>
      <c r="K212" s="2" t="s">
        <v>38</v>
      </c>
      <c r="L212" s="2" t="s">
        <v>20</v>
      </c>
      <c r="M212" s="17">
        <f t="shared" si="9"/>
        <v>-2711.7199999999993</v>
      </c>
      <c r="N212" s="15">
        <f t="shared" si="10"/>
        <v>-9288.2800000000007</v>
      </c>
      <c r="O212" t="str">
        <f t="shared" si="11"/>
        <v>No</v>
      </c>
    </row>
    <row r="213" spans="1:15" x14ac:dyDescent="0.3">
      <c r="A213" s="5" t="s">
        <v>317</v>
      </c>
      <c r="B213" s="6">
        <v>45411</v>
      </c>
      <c r="C213" s="5" t="s">
        <v>263</v>
      </c>
      <c r="D213" s="5" t="s">
        <v>54</v>
      </c>
      <c r="E213" s="5" t="s">
        <v>55</v>
      </c>
      <c r="F213" s="5" t="s">
        <v>56</v>
      </c>
      <c r="G213" s="5" t="s">
        <v>57</v>
      </c>
      <c r="H213" s="5" t="s">
        <v>52</v>
      </c>
      <c r="I213" s="14">
        <v>41052.01</v>
      </c>
      <c r="J213" s="7">
        <v>0</v>
      </c>
      <c r="K213" s="5" t="s">
        <v>19</v>
      </c>
      <c r="L213" s="5" t="s">
        <v>20</v>
      </c>
      <c r="M213" s="17" t="str">
        <f t="shared" si="9"/>
        <v>0</v>
      </c>
      <c r="N213" s="15">
        <f t="shared" si="10"/>
        <v>41052.01</v>
      </c>
      <c r="O213" t="str">
        <f t="shared" si="11"/>
        <v>Yes</v>
      </c>
    </row>
    <row r="214" spans="1:15" x14ac:dyDescent="0.3">
      <c r="A214" s="2" t="s">
        <v>318</v>
      </c>
      <c r="B214" s="3">
        <v>45411</v>
      </c>
      <c r="C214" s="2" t="s">
        <v>263</v>
      </c>
      <c r="D214" s="2" t="s">
        <v>14</v>
      </c>
      <c r="E214" s="2" t="s">
        <v>104</v>
      </c>
      <c r="F214" s="2" t="s">
        <v>163</v>
      </c>
      <c r="G214" s="2" t="s">
        <v>164</v>
      </c>
      <c r="H214" s="2" t="s">
        <v>37</v>
      </c>
      <c r="I214" s="12">
        <v>2292.73</v>
      </c>
      <c r="J214" s="4">
        <v>2000</v>
      </c>
      <c r="K214" s="2" t="s">
        <v>26</v>
      </c>
      <c r="L214" s="2" t="s">
        <v>20</v>
      </c>
      <c r="M214" s="17">
        <f t="shared" si="9"/>
        <v>292.73</v>
      </c>
      <c r="N214" s="15">
        <f t="shared" si="10"/>
        <v>-2292.73</v>
      </c>
      <c r="O214" t="str">
        <f t="shared" si="11"/>
        <v>Yes</v>
      </c>
    </row>
    <row r="215" spans="1:15" x14ac:dyDescent="0.3">
      <c r="A215" s="5" t="s">
        <v>319</v>
      </c>
      <c r="B215" s="6">
        <v>45411</v>
      </c>
      <c r="C215" s="5" t="s">
        <v>263</v>
      </c>
      <c r="D215" s="5" t="s">
        <v>14</v>
      </c>
      <c r="E215" s="5" t="s">
        <v>34</v>
      </c>
      <c r="F215" s="5" t="s">
        <v>94</v>
      </c>
      <c r="G215" s="5" t="s">
        <v>95</v>
      </c>
      <c r="H215" s="5" t="s">
        <v>18</v>
      </c>
      <c r="I215" s="14">
        <v>3984.27</v>
      </c>
      <c r="J215" s="7">
        <v>4000</v>
      </c>
      <c r="K215" s="5" t="s">
        <v>47</v>
      </c>
      <c r="L215" s="5" t="s">
        <v>20</v>
      </c>
      <c r="M215" s="17">
        <f t="shared" si="9"/>
        <v>-15.730000000000018</v>
      </c>
      <c r="N215" s="15">
        <f t="shared" si="10"/>
        <v>-3984.27</v>
      </c>
      <c r="O215" t="str">
        <f t="shared" si="11"/>
        <v>No</v>
      </c>
    </row>
    <row r="216" spans="1:15" x14ac:dyDescent="0.3">
      <c r="A216" s="2" t="s">
        <v>320</v>
      </c>
      <c r="B216" s="3">
        <v>45412</v>
      </c>
      <c r="C216" s="2" t="s">
        <v>263</v>
      </c>
      <c r="D216" s="2" t="s">
        <v>54</v>
      </c>
      <c r="E216" s="2" t="s">
        <v>55</v>
      </c>
      <c r="F216" s="2" t="s">
        <v>56</v>
      </c>
      <c r="G216" s="2" t="s">
        <v>57</v>
      </c>
      <c r="H216" s="2" t="s">
        <v>18</v>
      </c>
      <c r="I216" s="12">
        <v>54035.12</v>
      </c>
      <c r="J216" s="4">
        <v>0</v>
      </c>
      <c r="K216" s="2" t="s">
        <v>38</v>
      </c>
      <c r="L216" s="2" t="s">
        <v>20</v>
      </c>
      <c r="M216" s="17" t="str">
        <f t="shared" si="9"/>
        <v>0</v>
      </c>
      <c r="N216" s="15">
        <f t="shared" si="10"/>
        <v>54035.12</v>
      </c>
      <c r="O216" t="str">
        <f t="shared" si="11"/>
        <v>Yes</v>
      </c>
    </row>
    <row r="217" spans="1:15" x14ac:dyDescent="0.3">
      <c r="A217" s="5" t="s">
        <v>321</v>
      </c>
      <c r="B217" s="6">
        <v>45412</v>
      </c>
      <c r="C217" s="5" t="s">
        <v>263</v>
      </c>
      <c r="D217" s="5" t="s">
        <v>14</v>
      </c>
      <c r="E217" s="5" t="s">
        <v>40</v>
      </c>
      <c r="F217" s="5" t="s">
        <v>97</v>
      </c>
      <c r="G217" s="5" t="s">
        <v>98</v>
      </c>
      <c r="H217" s="5" t="s">
        <v>37</v>
      </c>
      <c r="I217" s="14">
        <v>3366.11</v>
      </c>
      <c r="J217" s="7">
        <v>6000</v>
      </c>
      <c r="K217" s="5" t="s">
        <v>26</v>
      </c>
      <c r="L217" s="5" t="s">
        <v>27</v>
      </c>
      <c r="M217" s="17">
        <f t="shared" si="9"/>
        <v>-2633.89</v>
      </c>
      <c r="N217" s="15">
        <f t="shared" si="10"/>
        <v>-3366.11</v>
      </c>
      <c r="O217" t="str">
        <f t="shared" si="11"/>
        <v>No</v>
      </c>
    </row>
    <row r="218" spans="1:15" x14ac:dyDescent="0.3">
      <c r="A218" s="2" t="s">
        <v>322</v>
      </c>
      <c r="B218" s="3">
        <v>45414</v>
      </c>
      <c r="C218" s="2" t="s">
        <v>323</v>
      </c>
      <c r="D218" s="2" t="s">
        <v>14</v>
      </c>
      <c r="E218" s="2" t="s">
        <v>49</v>
      </c>
      <c r="F218" s="2" t="s">
        <v>77</v>
      </c>
      <c r="G218" s="2" t="s">
        <v>78</v>
      </c>
      <c r="H218" s="2" t="s">
        <v>52</v>
      </c>
      <c r="I218" s="12">
        <v>3510.33</v>
      </c>
      <c r="J218" s="4">
        <v>3500</v>
      </c>
      <c r="K218" s="2" t="s">
        <v>19</v>
      </c>
      <c r="L218" s="2" t="s">
        <v>27</v>
      </c>
      <c r="M218" s="17">
        <f t="shared" si="9"/>
        <v>10.329999999999927</v>
      </c>
      <c r="N218" s="15">
        <f t="shared" si="10"/>
        <v>-3510.33</v>
      </c>
      <c r="O218" t="str">
        <f t="shared" si="11"/>
        <v>Yes</v>
      </c>
    </row>
    <row r="219" spans="1:15" x14ac:dyDescent="0.3">
      <c r="A219" s="5" t="s">
        <v>324</v>
      </c>
      <c r="B219" s="6">
        <v>45415</v>
      </c>
      <c r="C219" s="5" t="s">
        <v>323</v>
      </c>
      <c r="D219" s="5" t="s">
        <v>14</v>
      </c>
      <c r="E219" s="5" t="s">
        <v>49</v>
      </c>
      <c r="F219" s="5" t="s">
        <v>77</v>
      </c>
      <c r="G219" s="5" t="s">
        <v>78</v>
      </c>
      <c r="H219" s="5" t="s">
        <v>37</v>
      </c>
      <c r="I219" s="14">
        <v>2702.96</v>
      </c>
      <c r="J219" s="7">
        <v>3500</v>
      </c>
      <c r="K219" s="5" t="s">
        <v>38</v>
      </c>
      <c r="L219" s="5" t="s">
        <v>27</v>
      </c>
      <c r="M219" s="17">
        <f t="shared" si="9"/>
        <v>-797.04</v>
      </c>
      <c r="N219" s="15">
        <f t="shared" si="10"/>
        <v>-2702.96</v>
      </c>
      <c r="O219" t="str">
        <f t="shared" si="11"/>
        <v>No</v>
      </c>
    </row>
    <row r="220" spans="1:15" x14ac:dyDescent="0.3">
      <c r="A220" s="2" t="s">
        <v>325</v>
      </c>
      <c r="B220" s="3">
        <v>45415</v>
      </c>
      <c r="C220" s="2" t="s">
        <v>323</v>
      </c>
      <c r="D220" s="2" t="s">
        <v>14</v>
      </c>
      <c r="E220" s="2" t="s">
        <v>44</v>
      </c>
      <c r="F220" s="2" t="s">
        <v>45</v>
      </c>
      <c r="G220" s="2" t="s">
        <v>46</v>
      </c>
      <c r="H220" s="2" t="s">
        <v>25</v>
      </c>
      <c r="I220" s="12">
        <v>18851.080000000002</v>
      </c>
      <c r="J220" s="4">
        <v>15000</v>
      </c>
      <c r="K220" s="2" t="s">
        <v>26</v>
      </c>
      <c r="L220" s="2" t="s">
        <v>20</v>
      </c>
      <c r="M220" s="17">
        <f t="shared" si="9"/>
        <v>3851.0800000000017</v>
      </c>
      <c r="N220" s="15">
        <f t="shared" si="10"/>
        <v>-18851.080000000002</v>
      </c>
      <c r="O220" t="str">
        <f t="shared" si="11"/>
        <v>Yes</v>
      </c>
    </row>
    <row r="221" spans="1:15" x14ac:dyDescent="0.3">
      <c r="A221" s="5" t="s">
        <v>326</v>
      </c>
      <c r="B221" s="6">
        <v>45415</v>
      </c>
      <c r="C221" s="5" t="s">
        <v>323</v>
      </c>
      <c r="D221" s="5" t="s">
        <v>14</v>
      </c>
      <c r="E221" s="5" t="s">
        <v>22</v>
      </c>
      <c r="F221" s="5" t="s">
        <v>23</v>
      </c>
      <c r="G221" s="5" t="s">
        <v>24</v>
      </c>
      <c r="H221" s="5" t="s">
        <v>32</v>
      </c>
      <c r="I221" s="14">
        <v>2069.17</v>
      </c>
      <c r="J221" s="7">
        <v>2500</v>
      </c>
      <c r="K221" s="5" t="s">
        <v>47</v>
      </c>
      <c r="L221" s="5" t="s">
        <v>27</v>
      </c>
      <c r="M221" s="17">
        <f t="shared" si="9"/>
        <v>-430.82999999999993</v>
      </c>
      <c r="N221" s="15">
        <f t="shared" si="10"/>
        <v>-2069.17</v>
      </c>
      <c r="O221" t="str">
        <f t="shared" si="11"/>
        <v>No</v>
      </c>
    </row>
    <row r="222" spans="1:15" x14ac:dyDescent="0.3">
      <c r="A222" s="2" t="s">
        <v>327</v>
      </c>
      <c r="B222" s="3">
        <v>45417</v>
      </c>
      <c r="C222" s="2" t="s">
        <v>323</v>
      </c>
      <c r="D222" s="2" t="s">
        <v>14</v>
      </c>
      <c r="E222" s="2" t="s">
        <v>40</v>
      </c>
      <c r="F222" s="2" t="s">
        <v>41</v>
      </c>
      <c r="G222" s="2" t="s">
        <v>42</v>
      </c>
      <c r="H222" s="2" t="s">
        <v>37</v>
      </c>
      <c r="I222" s="12">
        <v>4597.5200000000004</v>
      </c>
      <c r="J222" s="4">
        <v>6000</v>
      </c>
      <c r="K222" s="2" t="s">
        <v>47</v>
      </c>
      <c r="L222" s="2" t="s">
        <v>27</v>
      </c>
      <c r="M222" s="17">
        <f t="shared" si="9"/>
        <v>-1402.4799999999996</v>
      </c>
      <c r="N222" s="15">
        <f t="shared" si="10"/>
        <v>-4597.5200000000004</v>
      </c>
      <c r="O222" t="str">
        <f t="shared" si="11"/>
        <v>No</v>
      </c>
    </row>
    <row r="223" spans="1:15" x14ac:dyDescent="0.3">
      <c r="A223" s="5" t="s">
        <v>328</v>
      </c>
      <c r="B223" s="6">
        <v>45418</v>
      </c>
      <c r="C223" s="5" t="s">
        <v>323</v>
      </c>
      <c r="D223" s="5" t="s">
        <v>14</v>
      </c>
      <c r="E223" s="5" t="s">
        <v>22</v>
      </c>
      <c r="F223" s="5" t="s">
        <v>23</v>
      </c>
      <c r="G223" s="5" t="s">
        <v>24</v>
      </c>
      <c r="H223" s="5" t="s">
        <v>25</v>
      </c>
      <c r="I223" s="14">
        <v>2754.29</v>
      </c>
      <c r="J223" s="7">
        <v>2500</v>
      </c>
      <c r="K223" s="5" t="s">
        <v>19</v>
      </c>
      <c r="L223" s="5" t="s">
        <v>27</v>
      </c>
      <c r="M223" s="17">
        <f t="shared" si="9"/>
        <v>254.28999999999996</v>
      </c>
      <c r="N223" s="15">
        <f t="shared" si="10"/>
        <v>-2754.29</v>
      </c>
      <c r="O223" t="str">
        <f t="shared" si="11"/>
        <v>Yes</v>
      </c>
    </row>
    <row r="224" spans="1:15" x14ac:dyDescent="0.3">
      <c r="A224" s="2" t="s">
        <v>329</v>
      </c>
      <c r="B224" s="3">
        <v>45419</v>
      </c>
      <c r="C224" s="2" t="s">
        <v>323</v>
      </c>
      <c r="D224" s="2" t="s">
        <v>14</v>
      </c>
      <c r="E224" s="2" t="s">
        <v>72</v>
      </c>
      <c r="F224" s="2" t="s">
        <v>73</v>
      </c>
      <c r="G224" s="2" t="s">
        <v>74</v>
      </c>
      <c r="H224" s="2" t="s">
        <v>52</v>
      </c>
      <c r="I224" s="12">
        <v>1263.05</v>
      </c>
      <c r="J224" s="4">
        <v>2000</v>
      </c>
      <c r="K224" s="2" t="s">
        <v>38</v>
      </c>
      <c r="L224" s="2" t="s">
        <v>27</v>
      </c>
      <c r="M224" s="17">
        <f t="shared" si="9"/>
        <v>-736.95</v>
      </c>
      <c r="N224" s="15">
        <f t="shared" si="10"/>
        <v>-1263.05</v>
      </c>
      <c r="O224" t="str">
        <f t="shared" si="11"/>
        <v>No</v>
      </c>
    </row>
    <row r="225" spans="1:15" x14ac:dyDescent="0.3">
      <c r="A225" s="5" t="s">
        <v>330</v>
      </c>
      <c r="B225" s="6">
        <v>45419</v>
      </c>
      <c r="C225" s="5" t="s">
        <v>323</v>
      </c>
      <c r="D225" s="5" t="s">
        <v>54</v>
      </c>
      <c r="E225" s="5" t="s">
        <v>55</v>
      </c>
      <c r="F225" s="5" t="s">
        <v>56</v>
      </c>
      <c r="G225" s="5" t="s">
        <v>57</v>
      </c>
      <c r="H225" s="5" t="s">
        <v>37</v>
      </c>
      <c r="I225" s="14">
        <v>52196.75</v>
      </c>
      <c r="J225" s="7">
        <v>0</v>
      </c>
      <c r="K225" s="5" t="s">
        <v>26</v>
      </c>
      <c r="L225" s="5" t="s">
        <v>20</v>
      </c>
      <c r="M225" s="17" t="str">
        <f t="shared" si="9"/>
        <v>0</v>
      </c>
      <c r="N225" s="15">
        <f t="shared" si="10"/>
        <v>52196.75</v>
      </c>
      <c r="O225" t="str">
        <f t="shared" si="11"/>
        <v>Yes</v>
      </c>
    </row>
    <row r="226" spans="1:15" x14ac:dyDescent="0.3">
      <c r="A226" s="2" t="s">
        <v>331</v>
      </c>
      <c r="B226" s="3">
        <v>45420</v>
      </c>
      <c r="C226" s="2" t="s">
        <v>323</v>
      </c>
      <c r="D226" s="2" t="s">
        <v>14</v>
      </c>
      <c r="E226" s="2" t="s">
        <v>22</v>
      </c>
      <c r="F226" s="2" t="s">
        <v>23</v>
      </c>
      <c r="G226" s="2" t="s">
        <v>24</v>
      </c>
      <c r="H226" s="2" t="s">
        <v>52</v>
      </c>
      <c r="I226" s="12">
        <v>2595.14</v>
      </c>
      <c r="J226" s="4">
        <v>2500</v>
      </c>
      <c r="K226" s="2" t="s">
        <v>38</v>
      </c>
      <c r="L226" s="2" t="s">
        <v>27</v>
      </c>
      <c r="M226" s="17">
        <f t="shared" si="9"/>
        <v>95.139999999999873</v>
      </c>
      <c r="N226" s="15">
        <f t="shared" si="10"/>
        <v>-2595.14</v>
      </c>
      <c r="O226" t="str">
        <f t="shared" si="11"/>
        <v>Yes</v>
      </c>
    </row>
    <row r="227" spans="1:15" x14ac:dyDescent="0.3">
      <c r="A227" s="5" t="s">
        <v>332</v>
      </c>
      <c r="B227" s="6">
        <v>45421</v>
      </c>
      <c r="C227" s="5" t="s">
        <v>323</v>
      </c>
      <c r="D227" s="5" t="s">
        <v>14</v>
      </c>
      <c r="E227" s="5" t="s">
        <v>72</v>
      </c>
      <c r="F227" s="5" t="s">
        <v>73</v>
      </c>
      <c r="G227" s="5" t="s">
        <v>74</v>
      </c>
      <c r="H227" s="5" t="s">
        <v>37</v>
      </c>
      <c r="I227" s="14">
        <v>1221.96</v>
      </c>
      <c r="J227" s="7">
        <v>2000</v>
      </c>
      <c r="K227" s="5" t="s">
        <v>38</v>
      </c>
      <c r="L227" s="5" t="s">
        <v>27</v>
      </c>
      <c r="M227" s="17">
        <f t="shared" si="9"/>
        <v>-778.04</v>
      </c>
      <c r="N227" s="15">
        <f t="shared" si="10"/>
        <v>-1221.96</v>
      </c>
      <c r="O227" t="str">
        <f t="shared" si="11"/>
        <v>No</v>
      </c>
    </row>
    <row r="228" spans="1:15" x14ac:dyDescent="0.3">
      <c r="A228" s="2" t="s">
        <v>333</v>
      </c>
      <c r="B228" s="3">
        <v>45422</v>
      </c>
      <c r="C228" s="2" t="s">
        <v>323</v>
      </c>
      <c r="D228" s="2" t="s">
        <v>14</v>
      </c>
      <c r="E228" s="2" t="s">
        <v>104</v>
      </c>
      <c r="F228" s="2" t="s">
        <v>184</v>
      </c>
      <c r="G228" s="2" t="s">
        <v>185</v>
      </c>
      <c r="H228" s="2" t="s">
        <v>37</v>
      </c>
      <c r="I228" s="12">
        <v>1388.39</v>
      </c>
      <c r="J228" s="4">
        <v>2000</v>
      </c>
      <c r="K228" s="2" t="s">
        <v>26</v>
      </c>
      <c r="L228" s="2" t="s">
        <v>27</v>
      </c>
      <c r="M228" s="17">
        <f t="shared" si="9"/>
        <v>-611.6099999999999</v>
      </c>
      <c r="N228" s="15">
        <f t="shared" si="10"/>
        <v>-1388.39</v>
      </c>
      <c r="O228" t="str">
        <f t="shared" si="11"/>
        <v>No</v>
      </c>
    </row>
    <row r="229" spans="1:15" x14ac:dyDescent="0.3">
      <c r="A229" s="5" t="s">
        <v>334</v>
      </c>
      <c r="B229" s="6">
        <v>45423</v>
      </c>
      <c r="C229" s="5" t="s">
        <v>323</v>
      </c>
      <c r="D229" s="5" t="s">
        <v>14</v>
      </c>
      <c r="E229" s="5" t="s">
        <v>40</v>
      </c>
      <c r="F229" s="5" t="s">
        <v>97</v>
      </c>
      <c r="G229" s="5" t="s">
        <v>98</v>
      </c>
      <c r="H229" s="5" t="s">
        <v>37</v>
      </c>
      <c r="I229" s="14">
        <v>5265.55</v>
      </c>
      <c r="J229" s="7">
        <v>6000</v>
      </c>
      <c r="K229" s="5" t="s">
        <v>38</v>
      </c>
      <c r="L229" s="5" t="s">
        <v>27</v>
      </c>
      <c r="M229" s="17">
        <f t="shared" si="9"/>
        <v>-734.44999999999982</v>
      </c>
      <c r="N229" s="15">
        <f t="shared" si="10"/>
        <v>-5265.55</v>
      </c>
      <c r="O229" t="str">
        <f t="shared" si="11"/>
        <v>No</v>
      </c>
    </row>
    <row r="230" spans="1:15" x14ac:dyDescent="0.3">
      <c r="A230" s="2" t="s">
        <v>335</v>
      </c>
      <c r="B230" s="3">
        <v>45423</v>
      </c>
      <c r="C230" s="2" t="s">
        <v>323</v>
      </c>
      <c r="D230" s="2" t="s">
        <v>54</v>
      </c>
      <c r="E230" s="2" t="s">
        <v>55</v>
      </c>
      <c r="F230" s="2" t="s">
        <v>56</v>
      </c>
      <c r="G230" s="2" t="s">
        <v>57</v>
      </c>
      <c r="H230" s="2" t="s">
        <v>37</v>
      </c>
      <c r="I230" s="12">
        <v>46880.41</v>
      </c>
      <c r="J230" s="4">
        <v>0</v>
      </c>
      <c r="K230" s="2" t="s">
        <v>47</v>
      </c>
      <c r="L230" s="2" t="s">
        <v>20</v>
      </c>
      <c r="M230" s="17" t="str">
        <f t="shared" si="9"/>
        <v>0</v>
      </c>
      <c r="N230" s="15">
        <f t="shared" si="10"/>
        <v>46880.41</v>
      </c>
      <c r="O230" t="str">
        <f t="shared" si="11"/>
        <v>Yes</v>
      </c>
    </row>
    <row r="231" spans="1:15" x14ac:dyDescent="0.3">
      <c r="A231" s="5" t="s">
        <v>336</v>
      </c>
      <c r="B231" s="6">
        <v>45424</v>
      </c>
      <c r="C231" s="5" t="s">
        <v>323</v>
      </c>
      <c r="D231" s="5" t="s">
        <v>14</v>
      </c>
      <c r="E231" s="5" t="s">
        <v>29</v>
      </c>
      <c r="F231" s="5" t="s">
        <v>30</v>
      </c>
      <c r="G231" s="5" t="s">
        <v>31</v>
      </c>
      <c r="H231" s="5" t="s">
        <v>18</v>
      </c>
      <c r="I231" s="14">
        <v>3750.38</v>
      </c>
      <c r="J231" s="7">
        <v>3000</v>
      </c>
      <c r="K231" s="5" t="s">
        <v>19</v>
      </c>
      <c r="L231" s="5" t="s">
        <v>20</v>
      </c>
      <c r="M231" s="17">
        <f t="shared" si="9"/>
        <v>750.38000000000011</v>
      </c>
      <c r="N231" s="15">
        <f t="shared" si="10"/>
        <v>-3750.38</v>
      </c>
      <c r="O231" t="str">
        <f t="shared" si="11"/>
        <v>Yes</v>
      </c>
    </row>
    <row r="232" spans="1:15" x14ac:dyDescent="0.3">
      <c r="A232" s="2" t="s">
        <v>337</v>
      </c>
      <c r="B232" s="3">
        <v>45425</v>
      </c>
      <c r="C232" s="2" t="s">
        <v>323</v>
      </c>
      <c r="D232" s="2" t="s">
        <v>54</v>
      </c>
      <c r="E232" s="2" t="s">
        <v>209</v>
      </c>
      <c r="F232" s="2" t="s">
        <v>314</v>
      </c>
      <c r="G232" s="2" t="s">
        <v>315</v>
      </c>
      <c r="H232" s="2" t="s">
        <v>18</v>
      </c>
      <c r="I232" s="12">
        <v>3602.51</v>
      </c>
      <c r="J232" s="4">
        <v>0</v>
      </c>
      <c r="K232" s="2" t="s">
        <v>19</v>
      </c>
      <c r="L232" s="2" t="s">
        <v>27</v>
      </c>
      <c r="M232" s="17" t="str">
        <f t="shared" si="9"/>
        <v>0</v>
      </c>
      <c r="N232" s="15">
        <f t="shared" si="10"/>
        <v>3602.51</v>
      </c>
      <c r="O232" t="str">
        <f t="shared" si="11"/>
        <v>Yes</v>
      </c>
    </row>
    <row r="233" spans="1:15" x14ac:dyDescent="0.3">
      <c r="A233" s="5" t="s">
        <v>338</v>
      </c>
      <c r="B233" s="6">
        <v>45425</v>
      </c>
      <c r="C233" s="5" t="s">
        <v>323</v>
      </c>
      <c r="D233" s="5" t="s">
        <v>14</v>
      </c>
      <c r="E233" s="5" t="s">
        <v>15</v>
      </c>
      <c r="F233" s="5" t="s">
        <v>83</v>
      </c>
      <c r="G233" s="5" t="s">
        <v>84</v>
      </c>
      <c r="H233" s="5" t="s">
        <v>32</v>
      </c>
      <c r="I233" s="14">
        <v>9186.75</v>
      </c>
      <c r="J233" s="7">
        <v>12000</v>
      </c>
      <c r="K233" s="5" t="s">
        <v>26</v>
      </c>
      <c r="L233" s="5" t="s">
        <v>20</v>
      </c>
      <c r="M233" s="17">
        <f t="shared" si="9"/>
        <v>-2813.25</v>
      </c>
      <c r="N233" s="15">
        <f t="shared" si="10"/>
        <v>-9186.75</v>
      </c>
      <c r="O233" t="str">
        <f t="shared" si="11"/>
        <v>No</v>
      </c>
    </row>
    <row r="234" spans="1:15" x14ac:dyDescent="0.3">
      <c r="A234" s="2" t="s">
        <v>339</v>
      </c>
      <c r="B234" s="3">
        <v>45426</v>
      </c>
      <c r="C234" s="2" t="s">
        <v>323</v>
      </c>
      <c r="D234" s="2" t="s">
        <v>14</v>
      </c>
      <c r="E234" s="2" t="s">
        <v>22</v>
      </c>
      <c r="F234" s="2" t="s">
        <v>154</v>
      </c>
      <c r="G234" s="2" t="s">
        <v>155</v>
      </c>
      <c r="H234" s="2" t="s">
        <v>52</v>
      </c>
      <c r="I234" s="12">
        <v>2778.93</v>
      </c>
      <c r="J234" s="4">
        <v>2500</v>
      </c>
      <c r="K234" s="2" t="s">
        <v>38</v>
      </c>
      <c r="L234" s="2" t="s">
        <v>27</v>
      </c>
      <c r="M234" s="17">
        <f t="shared" si="9"/>
        <v>278.92999999999984</v>
      </c>
      <c r="N234" s="15">
        <f t="shared" si="10"/>
        <v>-2778.93</v>
      </c>
      <c r="O234" t="str">
        <f t="shared" si="11"/>
        <v>Yes</v>
      </c>
    </row>
    <row r="235" spans="1:15" x14ac:dyDescent="0.3">
      <c r="A235" s="5" t="s">
        <v>340</v>
      </c>
      <c r="B235" s="6">
        <v>45427</v>
      </c>
      <c r="C235" s="5" t="s">
        <v>323</v>
      </c>
      <c r="D235" s="5" t="s">
        <v>14</v>
      </c>
      <c r="E235" s="5" t="s">
        <v>34</v>
      </c>
      <c r="F235" s="5" t="s">
        <v>94</v>
      </c>
      <c r="G235" s="5" t="s">
        <v>95</v>
      </c>
      <c r="H235" s="5" t="s">
        <v>18</v>
      </c>
      <c r="I235" s="14">
        <v>2430.6</v>
      </c>
      <c r="J235" s="7">
        <v>4000</v>
      </c>
      <c r="K235" s="5" t="s">
        <v>38</v>
      </c>
      <c r="L235" s="5" t="s">
        <v>27</v>
      </c>
      <c r="M235" s="17">
        <f t="shared" si="9"/>
        <v>-1569.4</v>
      </c>
      <c r="N235" s="15">
        <f t="shared" si="10"/>
        <v>-2430.6</v>
      </c>
      <c r="O235" t="str">
        <f t="shared" si="11"/>
        <v>No</v>
      </c>
    </row>
    <row r="236" spans="1:15" x14ac:dyDescent="0.3">
      <c r="A236" s="2" t="s">
        <v>341</v>
      </c>
      <c r="B236" s="3">
        <v>45427</v>
      </c>
      <c r="C236" s="2" t="s">
        <v>323</v>
      </c>
      <c r="D236" s="2" t="s">
        <v>14</v>
      </c>
      <c r="E236" s="2" t="s">
        <v>29</v>
      </c>
      <c r="F236" s="2" t="s">
        <v>238</v>
      </c>
      <c r="G236" s="2" t="s">
        <v>239</v>
      </c>
      <c r="H236" s="2" t="s">
        <v>18</v>
      </c>
      <c r="I236" s="12">
        <v>1621.14</v>
      </c>
      <c r="J236" s="4">
        <v>3000</v>
      </c>
      <c r="K236" s="2" t="s">
        <v>38</v>
      </c>
      <c r="L236" s="2" t="s">
        <v>20</v>
      </c>
      <c r="M236" s="17">
        <f t="shared" si="9"/>
        <v>-1378.86</v>
      </c>
      <c r="N236" s="15">
        <f t="shared" si="10"/>
        <v>-1621.14</v>
      </c>
      <c r="O236" t="str">
        <f t="shared" si="11"/>
        <v>No</v>
      </c>
    </row>
    <row r="237" spans="1:15" x14ac:dyDescent="0.3">
      <c r="A237" s="5" t="s">
        <v>342</v>
      </c>
      <c r="B237" s="6">
        <v>45428</v>
      </c>
      <c r="C237" s="5" t="s">
        <v>323</v>
      </c>
      <c r="D237" s="5" t="s">
        <v>14</v>
      </c>
      <c r="E237" s="5" t="s">
        <v>49</v>
      </c>
      <c r="F237" s="5" t="s">
        <v>77</v>
      </c>
      <c r="G237" s="5" t="s">
        <v>78</v>
      </c>
      <c r="H237" s="5" t="s">
        <v>37</v>
      </c>
      <c r="I237" s="14">
        <v>2325.75</v>
      </c>
      <c r="J237" s="7">
        <v>3500</v>
      </c>
      <c r="K237" s="5" t="s">
        <v>38</v>
      </c>
      <c r="L237" s="5" t="s">
        <v>27</v>
      </c>
      <c r="M237" s="17">
        <f t="shared" si="9"/>
        <v>-1174.25</v>
      </c>
      <c r="N237" s="15">
        <f t="shared" si="10"/>
        <v>-2325.75</v>
      </c>
      <c r="O237" t="str">
        <f t="shared" si="11"/>
        <v>No</v>
      </c>
    </row>
    <row r="238" spans="1:15" x14ac:dyDescent="0.3">
      <c r="A238" s="2" t="s">
        <v>343</v>
      </c>
      <c r="B238" s="3">
        <v>45429</v>
      </c>
      <c r="C238" s="2" t="s">
        <v>323</v>
      </c>
      <c r="D238" s="2" t="s">
        <v>54</v>
      </c>
      <c r="E238" s="2" t="s">
        <v>55</v>
      </c>
      <c r="F238" s="2" t="s">
        <v>56</v>
      </c>
      <c r="G238" s="2" t="s">
        <v>57</v>
      </c>
      <c r="H238" s="2" t="s">
        <v>25</v>
      </c>
      <c r="I238" s="12">
        <v>54561.29</v>
      </c>
      <c r="J238" s="4">
        <v>0</v>
      </c>
      <c r="K238" s="2" t="s">
        <v>26</v>
      </c>
      <c r="L238" s="2" t="s">
        <v>20</v>
      </c>
      <c r="M238" s="17" t="str">
        <f t="shared" si="9"/>
        <v>0</v>
      </c>
      <c r="N238" s="15">
        <f t="shared" si="10"/>
        <v>54561.29</v>
      </c>
      <c r="O238" t="str">
        <f t="shared" si="11"/>
        <v>Yes</v>
      </c>
    </row>
    <row r="239" spans="1:15" x14ac:dyDescent="0.3">
      <c r="A239" s="5" t="s">
        <v>344</v>
      </c>
      <c r="B239" s="6">
        <v>45429</v>
      </c>
      <c r="C239" s="5" t="s">
        <v>323</v>
      </c>
      <c r="D239" s="5" t="s">
        <v>14</v>
      </c>
      <c r="E239" s="5" t="s">
        <v>34</v>
      </c>
      <c r="F239" s="5" t="s">
        <v>94</v>
      </c>
      <c r="G239" s="5" t="s">
        <v>95</v>
      </c>
      <c r="H239" s="5" t="s">
        <v>32</v>
      </c>
      <c r="I239" s="14">
        <v>3679.68</v>
      </c>
      <c r="J239" s="7">
        <v>4000</v>
      </c>
      <c r="K239" s="5" t="s">
        <v>19</v>
      </c>
      <c r="L239" s="5" t="s">
        <v>27</v>
      </c>
      <c r="M239" s="17">
        <f t="shared" si="9"/>
        <v>-320.32000000000016</v>
      </c>
      <c r="N239" s="15">
        <f t="shared" si="10"/>
        <v>-3679.68</v>
      </c>
      <c r="O239" t="str">
        <f t="shared" si="11"/>
        <v>No</v>
      </c>
    </row>
    <row r="240" spans="1:15" x14ac:dyDescent="0.3">
      <c r="A240" s="2" t="s">
        <v>345</v>
      </c>
      <c r="B240" s="3">
        <v>45429</v>
      </c>
      <c r="C240" s="2" t="s">
        <v>323</v>
      </c>
      <c r="D240" s="2" t="s">
        <v>14</v>
      </c>
      <c r="E240" s="2" t="s">
        <v>29</v>
      </c>
      <c r="F240" s="2" t="s">
        <v>109</v>
      </c>
      <c r="G240" s="2" t="s">
        <v>110</v>
      </c>
      <c r="H240" s="2" t="s">
        <v>37</v>
      </c>
      <c r="I240" s="12">
        <v>1616.44</v>
      </c>
      <c r="J240" s="4">
        <v>3000</v>
      </c>
      <c r="K240" s="2" t="s">
        <v>26</v>
      </c>
      <c r="L240" s="2" t="s">
        <v>20</v>
      </c>
      <c r="M240" s="17">
        <f t="shared" si="9"/>
        <v>-1383.56</v>
      </c>
      <c r="N240" s="15">
        <f t="shared" si="10"/>
        <v>-1616.44</v>
      </c>
      <c r="O240" t="str">
        <f t="shared" si="11"/>
        <v>No</v>
      </c>
    </row>
    <row r="241" spans="1:15" x14ac:dyDescent="0.3">
      <c r="A241" s="5" t="s">
        <v>346</v>
      </c>
      <c r="B241" s="6">
        <v>45429</v>
      </c>
      <c r="C241" s="5" t="s">
        <v>323</v>
      </c>
      <c r="D241" s="5" t="s">
        <v>14</v>
      </c>
      <c r="E241" s="5" t="s">
        <v>104</v>
      </c>
      <c r="F241" s="5" t="s">
        <v>184</v>
      </c>
      <c r="G241" s="5" t="s">
        <v>185</v>
      </c>
      <c r="H241" s="5" t="s">
        <v>37</v>
      </c>
      <c r="I241" s="14">
        <v>1562.94</v>
      </c>
      <c r="J241" s="7">
        <v>2000</v>
      </c>
      <c r="K241" s="5" t="s">
        <v>19</v>
      </c>
      <c r="L241" s="5" t="s">
        <v>27</v>
      </c>
      <c r="M241" s="17">
        <f t="shared" si="9"/>
        <v>-437.05999999999995</v>
      </c>
      <c r="N241" s="15">
        <f t="shared" si="10"/>
        <v>-1562.94</v>
      </c>
      <c r="O241" t="str">
        <f t="shared" si="11"/>
        <v>No</v>
      </c>
    </row>
    <row r="242" spans="1:15" x14ac:dyDescent="0.3">
      <c r="A242" s="2" t="s">
        <v>347</v>
      </c>
      <c r="B242" s="3">
        <v>45429</v>
      </c>
      <c r="C242" s="2" t="s">
        <v>323</v>
      </c>
      <c r="D242" s="2" t="s">
        <v>54</v>
      </c>
      <c r="E242" s="2" t="s">
        <v>55</v>
      </c>
      <c r="F242" s="2" t="s">
        <v>56</v>
      </c>
      <c r="G242" s="2" t="s">
        <v>57</v>
      </c>
      <c r="H242" s="2" t="s">
        <v>52</v>
      </c>
      <c r="I242" s="12">
        <v>44198.92</v>
      </c>
      <c r="J242" s="4">
        <v>0</v>
      </c>
      <c r="K242" s="2" t="s">
        <v>26</v>
      </c>
      <c r="L242" s="2" t="s">
        <v>20</v>
      </c>
      <c r="M242" s="17" t="str">
        <f t="shared" si="9"/>
        <v>0</v>
      </c>
      <c r="N242" s="15">
        <f t="shared" si="10"/>
        <v>44198.92</v>
      </c>
      <c r="O242" t="str">
        <f t="shared" si="11"/>
        <v>Yes</v>
      </c>
    </row>
    <row r="243" spans="1:15" x14ac:dyDescent="0.3">
      <c r="A243" s="5" t="s">
        <v>348</v>
      </c>
      <c r="B243" s="6">
        <v>45430</v>
      </c>
      <c r="C243" s="5" t="s">
        <v>323</v>
      </c>
      <c r="D243" s="5" t="s">
        <v>14</v>
      </c>
      <c r="E243" s="5" t="s">
        <v>44</v>
      </c>
      <c r="F243" s="5" t="s">
        <v>45</v>
      </c>
      <c r="G243" s="5" t="s">
        <v>46</v>
      </c>
      <c r="H243" s="5" t="s">
        <v>32</v>
      </c>
      <c r="I243" s="14">
        <v>13732</v>
      </c>
      <c r="J243" s="7">
        <v>15000</v>
      </c>
      <c r="K243" s="5" t="s">
        <v>19</v>
      </c>
      <c r="L243" s="5" t="s">
        <v>20</v>
      </c>
      <c r="M243" s="17">
        <f t="shared" si="9"/>
        <v>-1268</v>
      </c>
      <c r="N243" s="15">
        <f t="shared" si="10"/>
        <v>-13732</v>
      </c>
      <c r="O243" t="str">
        <f t="shared" si="11"/>
        <v>No</v>
      </c>
    </row>
    <row r="244" spans="1:15" x14ac:dyDescent="0.3">
      <c r="A244" s="2" t="s">
        <v>349</v>
      </c>
      <c r="B244" s="3">
        <v>45432</v>
      </c>
      <c r="C244" s="2" t="s">
        <v>323</v>
      </c>
      <c r="D244" s="2" t="s">
        <v>14</v>
      </c>
      <c r="E244" s="2" t="s">
        <v>112</v>
      </c>
      <c r="F244" s="2" t="s">
        <v>193</v>
      </c>
      <c r="G244" s="2" t="s">
        <v>194</v>
      </c>
      <c r="H244" s="2" t="s">
        <v>37</v>
      </c>
      <c r="I244" s="12">
        <v>9760.18</v>
      </c>
      <c r="J244" s="4">
        <v>8000</v>
      </c>
      <c r="K244" s="2" t="s">
        <v>26</v>
      </c>
      <c r="L244" s="2" t="s">
        <v>20</v>
      </c>
      <c r="M244" s="17">
        <f t="shared" si="9"/>
        <v>1760.1800000000003</v>
      </c>
      <c r="N244" s="15">
        <f t="shared" si="10"/>
        <v>-9760.18</v>
      </c>
      <c r="O244" t="str">
        <f t="shared" si="11"/>
        <v>Yes</v>
      </c>
    </row>
    <row r="245" spans="1:15" x14ac:dyDescent="0.3">
      <c r="A245" s="5" t="s">
        <v>350</v>
      </c>
      <c r="B245" s="6">
        <v>45432</v>
      </c>
      <c r="C245" s="5" t="s">
        <v>323</v>
      </c>
      <c r="D245" s="5" t="s">
        <v>14</v>
      </c>
      <c r="E245" s="5" t="s">
        <v>22</v>
      </c>
      <c r="F245" s="5" t="s">
        <v>23</v>
      </c>
      <c r="G245" s="5" t="s">
        <v>24</v>
      </c>
      <c r="H245" s="5" t="s">
        <v>18</v>
      </c>
      <c r="I245" s="14">
        <v>1542.19</v>
      </c>
      <c r="J245" s="7">
        <v>2500</v>
      </c>
      <c r="K245" s="5" t="s">
        <v>26</v>
      </c>
      <c r="L245" s="5" t="s">
        <v>27</v>
      </c>
      <c r="M245" s="17">
        <f t="shared" si="9"/>
        <v>-957.81</v>
      </c>
      <c r="N245" s="15">
        <f t="shared" si="10"/>
        <v>-1542.19</v>
      </c>
      <c r="O245" t="str">
        <f t="shared" si="11"/>
        <v>No</v>
      </c>
    </row>
    <row r="246" spans="1:15" x14ac:dyDescent="0.3">
      <c r="A246" s="2" t="s">
        <v>351</v>
      </c>
      <c r="B246" s="3">
        <v>45432</v>
      </c>
      <c r="C246" s="2" t="s">
        <v>323</v>
      </c>
      <c r="D246" s="2" t="s">
        <v>14</v>
      </c>
      <c r="E246" s="2" t="s">
        <v>44</v>
      </c>
      <c r="F246" s="2" t="s">
        <v>45</v>
      </c>
      <c r="G246" s="2" t="s">
        <v>46</v>
      </c>
      <c r="H246" s="2" t="s">
        <v>37</v>
      </c>
      <c r="I246" s="12">
        <v>8836.48</v>
      </c>
      <c r="J246" s="4">
        <v>15000</v>
      </c>
      <c r="K246" s="2" t="s">
        <v>38</v>
      </c>
      <c r="L246" s="2" t="s">
        <v>20</v>
      </c>
      <c r="M246" s="17">
        <f t="shared" si="9"/>
        <v>-6163.52</v>
      </c>
      <c r="N246" s="15">
        <f t="shared" si="10"/>
        <v>-8836.48</v>
      </c>
      <c r="O246" t="str">
        <f t="shared" si="11"/>
        <v>No</v>
      </c>
    </row>
    <row r="247" spans="1:15" x14ac:dyDescent="0.3">
      <c r="A247" s="5" t="s">
        <v>352</v>
      </c>
      <c r="B247" s="6">
        <v>45432</v>
      </c>
      <c r="C247" s="5" t="s">
        <v>323</v>
      </c>
      <c r="D247" s="5" t="s">
        <v>14</v>
      </c>
      <c r="E247" s="5" t="s">
        <v>40</v>
      </c>
      <c r="F247" s="5" t="s">
        <v>97</v>
      </c>
      <c r="G247" s="5" t="s">
        <v>98</v>
      </c>
      <c r="H247" s="5" t="s">
        <v>18</v>
      </c>
      <c r="I247" s="14">
        <v>5715.77</v>
      </c>
      <c r="J247" s="7">
        <v>6000</v>
      </c>
      <c r="K247" s="5" t="s">
        <v>26</v>
      </c>
      <c r="L247" s="5" t="s">
        <v>27</v>
      </c>
      <c r="M247" s="17">
        <f t="shared" si="9"/>
        <v>-284.22999999999956</v>
      </c>
      <c r="N247" s="15">
        <f t="shared" si="10"/>
        <v>-5715.77</v>
      </c>
      <c r="O247" t="str">
        <f t="shared" si="11"/>
        <v>No</v>
      </c>
    </row>
    <row r="248" spans="1:15" x14ac:dyDescent="0.3">
      <c r="A248" s="2" t="s">
        <v>353</v>
      </c>
      <c r="B248" s="3">
        <v>45434</v>
      </c>
      <c r="C248" s="2" t="s">
        <v>323</v>
      </c>
      <c r="D248" s="2" t="s">
        <v>14</v>
      </c>
      <c r="E248" s="2" t="s">
        <v>112</v>
      </c>
      <c r="F248" s="2" t="s">
        <v>113</v>
      </c>
      <c r="G248" s="2" t="s">
        <v>114</v>
      </c>
      <c r="H248" s="2" t="s">
        <v>18</v>
      </c>
      <c r="I248" s="12">
        <v>6257.04</v>
      </c>
      <c r="J248" s="4">
        <v>8000</v>
      </c>
      <c r="K248" s="2" t="s">
        <v>38</v>
      </c>
      <c r="L248" s="2" t="s">
        <v>20</v>
      </c>
      <c r="M248" s="17">
        <f t="shared" si="9"/>
        <v>-1742.96</v>
      </c>
      <c r="N248" s="15">
        <f t="shared" si="10"/>
        <v>-6257.04</v>
      </c>
      <c r="O248" t="str">
        <f t="shared" si="11"/>
        <v>No</v>
      </c>
    </row>
    <row r="249" spans="1:15" x14ac:dyDescent="0.3">
      <c r="A249" s="5" t="s">
        <v>354</v>
      </c>
      <c r="B249" s="6">
        <v>45434</v>
      </c>
      <c r="C249" s="5" t="s">
        <v>323</v>
      </c>
      <c r="D249" s="5" t="s">
        <v>54</v>
      </c>
      <c r="E249" s="5" t="s">
        <v>55</v>
      </c>
      <c r="F249" s="5" t="s">
        <v>56</v>
      </c>
      <c r="G249" s="5" t="s">
        <v>57</v>
      </c>
      <c r="H249" s="5" t="s">
        <v>25</v>
      </c>
      <c r="I249" s="14">
        <v>54993.62</v>
      </c>
      <c r="J249" s="7">
        <v>0</v>
      </c>
      <c r="K249" s="5" t="s">
        <v>26</v>
      </c>
      <c r="L249" s="5" t="s">
        <v>20</v>
      </c>
      <c r="M249" s="17" t="str">
        <f t="shared" si="9"/>
        <v>0</v>
      </c>
      <c r="N249" s="15">
        <f t="shared" si="10"/>
        <v>54993.62</v>
      </c>
      <c r="O249" t="str">
        <f t="shared" si="11"/>
        <v>Yes</v>
      </c>
    </row>
    <row r="250" spans="1:15" x14ac:dyDescent="0.3">
      <c r="A250" s="2" t="s">
        <v>355</v>
      </c>
      <c r="B250" s="3">
        <v>45434</v>
      </c>
      <c r="C250" s="2" t="s">
        <v>323</v>
      </c>
      <c r="D250" s="2" t="s">
        <v>54</v>
      </c>
      <c r="E250" s="2" t="s">
        <v>87</v>
      </c>
      <c r="F250" s="2" t="s">
        <v>176</v>
      </c>
      <c r="G250" s="2" t="s">
        <v>177</v>
      </c>
      <c r="H250" s="2" t="s">
        <v>52</v>
      </c>
      <c r="I250" s="12">
        <v>6320.91</v>
      </c>
      <c r="J250" s="4">
        <v>0</v>
      </c>
      <c r="K250" s="2" t="s">
        <v>47</v>
      </c>
      <c r="L250" s="2" t="s">
        <v>27</v>
      </c>
      <c r="M250" s="17" t="str">
        <f t="shared" si="9"/>
        <v>0</v>
      </c>
      <c r="N250" s="15">
        <f t="shared" si="10"/>
        <v>6320.91</v>
      </c>
      <c r="O250" t="str">
        <f t="shared" si="11"/>
        <v>Yes</v>
      </c>
    </row>
    <row r="251" spans="1:15" x14ac:dyDescent="0.3">
      <c r="A251" s="5" t="s">
        <v>356</v>
      </c>
      <c r="B251" s="6">
        <v>45434</v>
      </c>
      <c r="C251" s="5" t="s">
        <v>323</v>
      </c>
      <c r="D251" s="5" t="s">
        <v>14</v>
      </c>
      <c r="E251" s="5" t="s">
        <v>40</v>
      </c>
      <c r="F251" s="5" t="s">
        <v>97</v>
      </c>
      <c r="G251" s="5" t="s">
        <v>98</v>
      </c>
      <c r="H251" s="5" t="s">
        <v>25</v>
      </c>
      <c r="I251" s="14">
        <v>5546.63</v>
      </c>
      <c r="J251" s="7">
        <v>6000</v>
      </c>
      <c r="K251" s="5" t="s">
        <v>47</v>
      </c>
      <c r="L251" s="5" t="s">
        <v>27</v>
      </c>
      <c r="M251" s="17">
        <f t="shared" si="9"/>
        <v>-453.36999999999989</v>
      </c>
      <c r="N251" s="15">
        <f t="shared" si="10"/>
        <v>-5546.63</v>
      </c>
      <c r="O251" t="str">
        <f t="shared" si="11"/>
        <v>No</v>
      </c>
    </row>
    <row r="252" spans="1:15" x14ac:dyDescent="0.3">
      <c r="A252" s="2" t="s">
        <v>357</v>
      </c>
      <c r="B252" s="3">
        <v>45434</v>
      </c>
      <c r="C252" s="2" t="s">
        <v>323</v>
      </c>
      <c r="D252" s="2" t="s">
        <v>14</v>
      </c>
      <c r="E252" s="2" t="s">
        <v>44</v>
      </c>
      <c r="F252" s="2" t="s">
        <v>45</v>
      </c>
      <c r="G252" s="2" t="s">
        <v>46</v>
      </c>
      <c r="H252" s="2" t="s">
        <v>18</v>
      </c>
      <c r="I252" s="12">
        <v>17566.849999999999</v>
      </c>
      <c r="J252" s="4">
        <v>15000</v>
      </c>
      <c r="K252" s="2" t="s">
        <v>19</v>
      </c>
      <c r="L252" s="2" t="s">
        <v>20</v>
      </c>
      <c r="M252" s="17">
        <f t="shared" si="9"/>
        <v>2566.8499999999985</v>
      </c>
      <c r="N252" s="15">
        <f t="shared" si="10"/>
        <v>-17566.849999999999</v>
      </c>
      <c r="O252" t="str">
        <f t="shared" si="11"/>
        <v>Yes</v>
      </c>
    </row>
    <row r="253" spans="1:15" x14ac:dyDescent="0.3">
      <c r="A253" s="5" t="s">
        <v>358</v>
      </c>
      <c r="B253" s="6">
        <v>45436</v>
      </c>
      <c r="C253" s="5" t="s">
        <v>323</v>
      </c>
      <c r="D253" s="5" t="s">
        <v>14</v>
      </c>
      <c r="E253" s="5" t="s">
        <v>40</v>
      </c>
      <c r="F253" s="5" t="s">
        <v>41</v>
      </c>
      <c r="G253" s="5" t="s">
        <v>42</v>
      </c>
      <c r="H253" s="5" t="s">
        <v>37</v>
      </c>
      <c r="I253" s="14">
        <v>4802.8</v>
      </c>
      <c r="J253" s="7">
        <v>6000</v>
      </c>
      <c r="K253" s="5" t="s">
        <v>26</v>
      </c>
      <c r="L253" s="5" t="s">
        <v>27</v>
      </c>
      <c r="M253" s="17">
        <f t="shared" si="9"/>
        <v>-1197.1999999999998</v>
      </c>
      <c r="N253" s="15">
        <f t="shared" si="10"/>
        <v>-4802.8</v>
      </c>
      <c r="O253" t="str">
        <f t="shared" si="11"/>
        <v>No</v>
      </c>
    </row>
    <row r="254" spans="1:15" x14ac:dyDescent="0.3">
      <c r="A254" s="2" t="s">
        <v>359</v>
      </c>
      <c r="B254" s="3">
        <v>45437</v>
      </c>
      <c r="C254" s="2" t="s">
        <v>323</v>
      </c>
      <c r="D254" s="2" t="s">
        <v>14</v>
      </c>
      <c r="E254" s="2" t="s">
        <v>29</v>
      </c>
      <c r="F254" s="2" t="s">
        <v>238</v>
      </c>
      <c r="G254" s="2" t="s">
        <v>239</v>
      </c>
      <c r="H254" s="2" t="s">
        <v>18</v>
      </c>
      <c r="I254" s="12">
        <v>2127.69</v>
      </c>
      <c r="J254" s="4">
        <v>3000</v>
      </c>
      <c r="K254" s="2" t="s">
        <v>19</v>
      </c>
      <c r="L254" s="2" t="s">
        <v>20</v>
      </c>
      <c r="M254" s="17">
        <f t="shared" si="9"/>
        <v>-872.31</v>
      </c>
      <c r="N254" s="15">
        <f t="shared" si="10"/>
        <v>-2127.69</v>
      </c>
      <c r="O254" t="str">
        <f t="shared" si="11"/>
        <v>No</v>
      </c>
    </row>
    <row r="255" spans="1:15" x14ac:dyDescent="0.3">
      <c r="A255" s="5" t="s">
        <v>360</v>
      </c>
      <c r="B255" s="6">
        <v>45437</v>
      </c>
      <c r="C255" s="5" t="s">
        <v>323</v>
      </c>
      <c r="D255" s="5" t="s">
        <v>14</v>
      </c>
      <c r="E255" s="5" t="s">
        <v>40</v>
      </c>
      <c r="F255" s="5" t="s">
        <v>41</v>
      </c>
      <c r="G255" s="5" t="s">
        <v>42</v>
      </c>
      <c r="H255" s="5" t="s">
        <v>37</v>
      </c>
      <c r="I255" s="14">
        <v>5598.04</v>
      </c>
      <c r="J255" s="7">
        <v>6000</v>
      </c>
      <c r="K255" s="5" t="s">
        <v>38</v>
      </c>
      <c r="L255" s="5" t="s">
        <v>27</v>
      </c>
      <c r="M255" s="17">
        <f t="shared" si="9"/>
        <v>-401.96000000000004</v>
      </c>
      <c r="N255" s="15">
        <f t="shared" si="10"/>
        <v>-5598.04</v>
      </c>
      <c r="O255" t="str">
        <f t="shared" si="11"/>
        <v>No</v>
      </c>
    </row>
    <row r="256" spans="1:15" x14ac:dyDescent="0.3">
      <c r="A256" s="2" t="s">
        <v>361</v>
      </c>
      <c r="B256" s="3">
        <v>45438</v>
      </c>
      <c r="C256" s="2" t="s">
        <v>323</v>
      </c>
      <c r="D256" s="2" t="s">
        <v>14</v>
      </c>
      <c r="E256" s="2" t="s">
        <v>22</v>
      </c>
      <c r="F256" s="2" t="s">
        <v>154</v>
      </c>
      <c r="G256" s="2" t="s">
        <v>155</v>
      </c>
      <c r="H256" s="2" t="s">
        <v>25</v>
      </c>
      <c r="I256" s="12">
        <v>2479.56</v>
      </c>
      <c r="J256" s="4">
        <v>2500</v>
      </c>
      <c r="K256" s="2" t="s">
        <v>47</v>
      </c>
      <c r="L256" s="2" t="s">
        <v>20</v>
      </c>
      <c r="M256" s="17">
        <f t="shared" si="9"/>
        <v>-20.440000000000055</v>
      </c>
      <c r="N256" s="15">
        <f t="shared" si="10"/>
        <v>-2479.56</v>
      </c>
      <c r="O256" t="str">
        <f t="shared" si="11"/>
        <v>No</v>
      </c>
    </row>
    <row r="257" spans="1:15" x14ac:dyDescent="0.3">
      <c r="A257" s="5" t="s">
        <v>362</v>
      </c>
      <c r="B257" s="6">
        <v>45438</v>
      </c>
      <c r="C257" s="5" t="s">
        <v>323</v>
      </c>
      <c r="D257" s="5" t="s">
        <v>14</v>
      </c>
      <c r="E257" s="5" t="s">
        <v>29</v>
      </c>
      <c r="F257" s="5" t="s">
        <v>109</v>
      </c>
      <c r="G257" s="5" t="s">
        <v>110</v>
      </c>
      <c r="H257" s="5" t="s">
        <v>25</v>
      </c>
      <c r="I257" s="14">
        <v>2433.81</v>
      </c>
      <c r="J257" s="7">
        <v>3000</v>
      </c>
      <c r="K257" s="5" t="s">
        <v>47</v>
      </c>
      <c r="L257" s="5" t="s">
        <v>20</v>
      </c>
      <c r="M257" s="17">
        <f t="shared" si="9"/>
        <v>-566.19000000000005</v>
      </c>
      <c r="N257" s="15">
        <f t="shared" si="10"/>
        <v>-2433.81</v>
      </c>
      <c r="O257" t="str">
        <f t="shared" si="11"/>
        <v>No</v>
      </c>
    </row>
    <row r="258" spans="1:15" x14ac:dyDescent="0.3">
      <c r="A258" s="2" t="s">
        <v>363</v>
      </c>
      <c r="B258" s="3">
        <v>45438</v>
      </c>
      <c r="C258" s="2" t="s">
        <v>323</v>
      </c>
      <c r="D258" s="2" t="s">
        <v>14</v>
      </c>
      <c r="E258" s="2" t="s">
        <v>34</v>
      </c>
      <c r="F258" s="2" t="s">
        <v>35</v>
      </c>
      <c r="G258" s="2" t="s">
        <v>36</v>
      </c>
      <c r="H258" s="2" t="s">
        <v>18</v>
      </c>
      <c r="I258" s="12">
        <v>3963.34</v>
      </c>
      <c r="J258" s="4">
        <v>4000</v>
      </c>
      <c r="K258" s="2" t="s">
        <v>26</v>
      </c>
      <c r="L258" s="2" t="s">
        <v>27</v>
      </c>
      <c r="M258" s="17">
        <f t="shared" si="9"/>
        <v>-36.659999999999854</v>
      </c>
      <c r="N258" s="15">
        <f t="shared" si="10"/>
        <v>-3963.34</v>
      </c>
      <c r="O258" t="str">
        <f t="shared" si="11"/>
        <v>No</v>
      </c>
    </row>
    <row r="259" spans="1:15" x14ac:dyDescent="0.3">
      <c r="A259" s="5" t="s">
        <v>364</v>
      </c>
      <c r="B259" s="6">
        <v>45439</v>
      </c>
      <c r="C259" s="5" t="s">
        <v>323</v>
      </c>
      <c r="D259" s="5" t="s">
        <v>14</v>
      </c>
      <c r="E259" s="5" t="s">
        <v>15</v>
      </c>
      <c r="F259" s="5" t="s">
        <v>60</v>
      </c>
      <c r="G259" s="5" t="s">
        <v>61</v>
      </c>
      <c r="H259" s="5" t="s">
        <v>37</v>
      </c>
      <c r="I259" s="14">
        <v>10084.93</v>
      </c>
      <c r="J259" s="7">
        <v>12000</v>
      </c>
      <c r="K259" s="5" t="s">
        <v>47</v>
      </c>
      <c r="L259" s="5" t="s">
        <v>20</v>
      </c>
      <c r="M259" s="17">
        <f t="shared" ref="M259:M322" si="12">IF(J259=0,"0",I259-J259)</f>
        <v>-1915.0699999999997</v>
      </c>
      <c r="N259" s="15">
        <f t="shared" ref="N259:N322" si="13">IF(D259="Income",I259,-I259)</f>
        <v>-10084.93</v>
      </c>
      <c r="O259" t="str">
        <f t="shared" ref="O259:O322" si="14">IF(M259&gt;0,"Yes","No")</f>
        <v>No</v>
      </c>
    </row>
    <row r="260" spans="1:15" x14ac:dyDescent="0.3">
      <c r="A260" s="2" t="s">
        <v>365</v>
      </c>
      <c r="B260" s="3">
        <v>45439</v>
      </c>
      <c r="C260" s="2" t="s">
        <v>323</v>
      </c>
      <c r="D260" s="2" t="s">
        <v>14</v>
      </c>
      <c r="E260" s="2" t="s">
        <v>22</v>
      </c>
      <c r="F260" s="2" t="s">
        <v>23</v>
      </c>
      <c r="G260" s="2" t="s">
        <v>24</v>
      </c>
      <c r="H260" s="2" t="s">
        <v>25</v>
      </c>
      <c r="I260" s="12">
        <v>1267.1500000000001</v>
      </c>
      <c r="J260" s="4">
        <v>2500</v>
      </c>
      <c r="K260" s="2" t="s">
        <v>26</v>
      </c>
      <c r="L260" s="2" t="s">
        <v>27</v>
      </c>
      <c r="M260" s="17">
        <f t="shared" si="12"/>
        <v>-1232.8499999999999</v>
      </c>
      <c r="N260" s="15">
        <f t="shared" si="13"/>
        <v>-1267.1500000000001</v>
      </c>
      <c r="O260" t="str">
        <f t="shared" si="14"/>
        <v>No</v>
      </c>
    </row>
    <row r="261" spans="1:15" x14ac:dyDescent="0.3">
      <c r="A261" s="5" t="s">
        <v>366</v>
      </c>
      <c r="B261" s="6">
        <v>45440</v>
      </c>
      <c r="C261" s="5" t="s">
        <v>323</v>
      </c>
      <c r="D261" s="5" t="s">
        <v>14</v>
      </c>
      <c r="E261" s="5" t="s">
        <v>29</v>
      </c>
      <c r="F261" s="5" t="s">
        <v>238</v>
      </c>
      <c r="G261" s="5" t="s">
        <v>239</v>
      </c>
      <c r="H261" s="5" t="s">
        <v>52</v>
      </c>
      <c r="I261" s="14">
        <v>3061.66</v>
      </c>
      <c r="J261" s="7">
        <v>3000</v>
      </c>
      <c r="K261" s="5" t="s">
        <v>26</v>
      </c>
      <c r="L261" s="5" t="s">
        <v>20</v>
      </c>
      <c r="M261" s="17">
        <f t="shared" si="12"/>
        <v>61.659999999999854</v>
      </c>
      <c r="N261" s="15">
        <f t="shared" si="13"/>
        <v>-3061.66</v>
      </c>
      <c r="O261" t="str">
        <f t="shared" si="14"/>
        <v>Yes</v>
      </c>
    </row>
    <row r="262" spans="1:15" x14ac:dyDescent="0.3">
      <c r="A262" s="2" t="s">
        <v>367</v>
      </c>
      <c r="B262" s="3">
        <v>45441</v>
      </c>
      <c r="C262" s="2" t="s">
        <v>323</v>
      </c>
      <c r="D262" s="2" t="s">
        <v>14</v>
      </c>
      <c r="E262" s="2" t="s">
        <v>29</v>
      </c>
      <c r="F262" s="2" t="s">
        <v>80</v>
      </c>
      <c r="G262" s="2" t="s">
        <v>81</v>
      </c>
      <c r="H262" s="2" t="s">
        <v>18</v>
      </c>
      <c r="I262" s="12">
        <v>1985.4</v>
      </c>
      <c r="J262" s="4">
        <v>3000</v>
      </c>
      <c r="K262" s="2" t="s">
        <v>38</v>
      </c>
      <c r="L262" s="2" t="s">
        <v>20</v>
      </c>
      <c r="M262" s="17">
        <f t="shared" si="12"/>
        <v>-1014.5999999999999</v>
      </c>
      <c r="N262" s="15">
        <f t="shared" si="13"/>
        <v>-1985.4</v>
      </c>
      <c r="O262" t="str">
        <f t="shared" si="14"/>
        <v>No</v>
      </c>
    </row>
    <row r="263" spans="1:15" x14ac:dyDescent="0.3">
      <c r="A263" s="5" t="s">
        <v>368</v>
      </c>
      <c r="B263" s="6">
        <v>45444</v>
      </c>
      <c r="C263" s="5" t="s">
        <v>369</v>
      </c>
      <c r="D263" s="5" t="s">
        <v>14</v>
      </c>
      <c r="E263" s="5" t="s">
        <v>112</v>
      </c>
      <c r="F263" s="5" t="s">
        <v>135</v>
      </c>
      <c r="G263" s="5" t="s">
        <v>136</v>
      </c>
      <c r="H263" s="5" t="s">
        <v>37</v>
      </c>
      <c r="I263" s="14">
        <v>10080.83</v>
      </c>
      <c r="J263" s="7">
        <v>8000</v>
      </c>
      <c r="K263" s="5" t="s">
        <v>38</v>
      </c>
      <c r="L263" s="5" t="s">
        <v>20</v>
      </c>
      <c r="M263" s="17">
        <f t="shared" si="12"/>
        <v>2080.83</v>
      </c>
      <c r="N263" s="15">
        <f t="shared" si="13"/>
        <v>-10080.83</v>
      </c>
      <c r="O263" t="str">
        <f t="shared" si="14"/>
        <v>Yes</v>
      </c>
    </row>
    <row r="264" spans="1:15" x14ac:dyDescent="0.3">
      <c r="A264" s="2" t="s">
        <v>370</v>
      </c>
      <c r="B264" s="3">
        <v>45444</v>
      </c>
      <c r="C264" s="2" t="s">
        <v>369</v>
      </c>
      <c r="D264" s="2" t="s">
        <v>14</v>
      </c>
      <c r="E264" s="2" t="s">
        <v>44</v>
      </c>
      <c r="F264" s="2" t="s">
        <v>45</v>
      </c>
      <c r="G264" s="2" t="s">
        <v>46</v>
      </c>
      <c r="H264" s="2" t="s">
        <v>32</v>
      </c>
      <c r="I264" s="12">
        <v>16001.63</v>
      </c>
      <c r="J264" s="4">
        <v>15000</v>
      </c>
      <c r="K264" s="2" t="s">
        <v>19</v>
      </c>
      <c r="L264" s="2" t="s">
        <v>20</v>
      </c>
      <c r="M264" s="17">
        <f t="shared" si="12"/>
        <v>1001.6299999999992</v>
      </c>
      <c r="N264" s="15">
        <f t="shared" si="13"/>
        <v>-16001.63</v>
      </c>
      <c r="O264" t="str">
        <f t="shared" si="14"/>
        <v>Yes</v>
      </c>
    </row>
    <row r="265" spans="1:15" x14ac:dyDescent="0.3">
      <c r="A265" s="5" t="s">
        <v>371</v>
      </c>
      <c r="B265" s="6">
        <v>45445</v>
      </c>
      <c r="C265" s="5" t="s">
        <v>369</v>
      </c>
      <c r="D265" s="5" t="s">
        <v>14</v>
      </c>
      <c r="E265" s="5" t="s">
        <v>112</v>
      </c>
      <c r="F265" s="5" t="s">
        <v>113</v>
      </c>
      <c r="G265" s="5" t="s">
        <v>114</v>
      </c>
      <c r="H265" s="5" t="s">
        <v>37</v>
      </c>
      <c r="I265" s="14">
        <v>4616.5</v>
      </c>
      <c r="J265" s="7">
        <v>8000</v>
      </c>
      <c r="K265" s="5" t="s">
        <v>47</v>
      </c>
      <c r="L265" s="5" t="s">
        <v>20</v>
      </c>
      <c r="M265" s="17">
        <f t="shared" si="12"/>
        <v>-3383.5</v>
      </c>
      <c r="N265" s="15">
        <f t="shared" si="13"/>
        <v>-4616.5</v>
      </c>
      <c r="O265" t="str">
        <f t="shared" si="14"/>
        <v>No</v>
      </c>
    </row>
    <row r="266" spans="1:15" x14ac:dyDescent="0.3">
      <c r="A266" s="2" t="s">
        <v>372</v>
      </c>
      <c r="B266" s="3">
        <v>45446</v>
      </c>
      <c r="C266" s="2" t="s">
        <v>369</v>
      </c>
      <c r="D266" s="2" t="s">
        <v>14</v>
      </c>
      <c r="E266" s="2" t="s">
        <v>49</v>
      </c>
      <c r="F266" s="2" t="s">
        <v>180</v>
      </c>
      <c r="G266" s="2" t="s">
        <v>181</v>
      </c>
      <c r="H266" s="2" t="s">
        <v>18</v>
      </c>
      <c r="I266" s="12">
        <v>3609.1</v>
      </c>
      <c r="J266" s="4">
        <v>3500</v>
      </c>
      <c r="K266" s="2" t="s">
        <v>19</v>
      </c>
      <c r="L266" s="2" t="s">
        <v>27</v>
      </c>
      <c r="M266" s="17">
        <f t="shared" si="12"/>
        <v>109.09999999999991</v>
      </c>
      <c r="N266" s="15">
        <f t="shared" si="13"/>
        <v>-3609.1</v>
      </c>
      <c r="O266" t="str">
        <f t="shared" si="14"/>
        <v>Yes</v>
      </c>
    </row>
    <row r="267" spans="1:15" x14ac:dyDescent="0.3">
      <c r="A267" s="5" t="s">
        <v>373</v>
      </c>
      <c r="B267" s="6">
        <v>45449</v>
      </c>
      <c r="C267" s="5" t="s">
        <v>369</v>
      </c>
      <c r="D267" s="5" t="s">
        <v>14</v>
      </c>
      <c r="E267" s="5" t="s">
        <v>15</v>
      </c>
      <c r="F267" s="5" t="s">
        <v>83</v>
      </c>
      <c r="G267" s="5" t="s">
        <v>84</v>
      </c>
      <c r="H267" s="5" t="s">
        <v>52</v>
      </c>
      <c r="I267" s="14">
        <v>7806.64</v>
      </c>
      <c r="J267" s="7">
        <v>12000</v>
      </c>
      <c r="K267" s="5" t="s">
        <v>47</v>
      </c>
      <c r="L267" s="5" t="s">
        <v>20</v>
      </c>
      <c r="M267" s="17">
        <f t="shared" si="12"/>
        <v>-4193.3599999999997</v>
      </c>
      <c r="N267" s="15">
        <f t="shared" si="13"/>
        <v>-7806.64</v>
      </c>
      <c r="O267" t="str">
        <f t="shared" si="14"/>
        <v>No</v>
      </c>
    </row>
    <row r="268" spans="1:15" x14ac:dyDescent="0.3">
      <c r="A268" s="2" t="s">
        <v>374</v>
      </c>
      <c r="B268" s="3">
        <v>45449</v>
      </c>
      <c r="C268" s="2" t="s">
        <v>369</v>
      </c>
      <c r="D268" s="2" t="s">
        <v>14</v>
      </c>
      <c r="E268" s="2" t="s">
        <v>112</v>
      </c>
      <c r="F268" s="2" t="s">
        <v>113</v>
      </c>
      <c r="G268" s="2" t="s">
        <v>114</v>
      </c>
      <c r="H268" s="2" t="s">
        <v>32</v>
      </c>
      <c r="I268" s="12">
        <v>8912.25</v>
      </c>
      <c r="J268" s="4">
        <v>8000</v>
      </c>
      <c r="K268" s="2" t="s">
        <v>38</v>
      </c>
      <c r="L268" s="2" t="s">
        <v>20</v>
      </c>
      <c r="M268" s="17">
        <f t="shared" si="12"/>
        <v>912.25</v>
      </c>
      <c r="N268" s="15">
        <f t="shared" si="13"/>
        <v>-8912.25</v>
      </c>
      <c r="O268" t="str">
        <f t="shared" si="14"/>
        <v>Yes</v>
      </c>
    </row>
    <row r="269" spans="1:15" x14ac:dyDescent="0.3">
      <c r="A269" s="5" t="s">
        <v>375</v>
      </c>
      <c r="B269" s="6">
        <v>45450</v>
      </c>
      <c r="C269" s="5" t="s">
        <v>369</v>
      </c>
      <c r="D269" s="5" t="s">
        <v>14</v>
      </c>
      <c r="E269" s="5" t="s">
        <v>15</v>
      </c>
      <c r="F269" s="5" t="s">
        <v>83</v>
      </c>
      <c r="G269" s="5" t="s">
        <v>84</v>
      </c>
      <c r="H269" s="5" t="s">
        <v>32</v>
      </c>
      <c r="I269" s="14">
        <v>8244.48</v>
      </c>
      <c r="J269" s="7">
        <v>12000</v>
      </c>
      <c r="K269" s="5" t="s">
        <v>26</v>
      </c>
      <c r="L269" s="5" t="s">
        <v>20</v>
      </c>
      <c r="M269" s="17">
        <f t="shared" si="12"/>
        <v>-3755.5200000000004</v>
      </c>
      <c r="N269" s="15">
        <f t="shared" si="13"/>
        <v>-8244.48</v>
      </c>
      <c r="O269" t="str">
        <f t="shared" si="14"/>
        <v>No</v>
      </c>
    </row>
    <row r="270" spans="1:15" x14ac:dyDescent="0.3">
      <c r="A270" s="2" t="s">
        <v>376</v>
      </c>
      <c r="B270" s="3">
        <v>45450</v>
      </c>
      <c r="C270" s="2" t="s">
        <v>369</v>
      </c>
      <c r="D270" s="2" t="s">
        <v>54</v>
      </c>
      <c r="E270" s="2" t="s">
        <v>209</v>
      </c>
      <c r="F270" s="2" t="s">
        <v>314</v>
      </c>
      <c r="G270" s="2" t="s">
        <v>315</v>
      </c>
      <c r="H270" s="2" t="s">
        <v>18</v>
      </c>
      <c r="I270" s="12">
        <v>3203.9</v>
      </c>
      <c r="J270" s="4">
        <v>0</v>
      </c>
      <c r="K270" s="2" t="s">
        <v>38</v>
      </c>
      <c r="L270" s="2" t="s">
        <v>27</v>
      </c>
      <c r="M270" s="17" t="str">
        <f t="shared" si="12"/>
        <v>0</v>
      </c>
      <c r="N270" s="15">
        <f t="shared" si="13"/>
        <v>3203.9</v>
      </c>
      <c r="O270" t="str">
        <f t="shared" si="14"/>
        <v>Yes</v>
      </c>
    </row>
    <row r="271" spans="1:15" x14ac:dyDescent="0.3">
      <c r="A271" s="5" t="s">
        <v>377</v>
      </c>
      <c r="B271" s="6">
        <v>45450</v>
      </c>
      <c r="C271" s="5" t="s">
        <v>369</v>
      </c>
      <c r="D271" s="5" t="s">
        <v>14</v>
      </c>
      <c r="E271" s="5" t="s">
        <v>22</v>
      </c>
      <c r="F271" s="5" t="s">
        <v>23</v>
      </c>
      <c r="G271" s="5" t="s">
        <v>24</v>
      </c>
      <c r="H271" s="5" t="s">
        <v>25</v>
      </c>
      <c r="I271" s="14">
        <v>2346.21</v>
      </c>
      <c r="J271" s="7">
        <v>2500</v>
      </c>
      <c r="K271" s="5" t="s">
        <v>26</v>
      </c>
      <c r="L271" s="5" t="s">
        <v>27</v>
      </c>
      <c r="M271" s="17">
        <f t="shared" si="12"/>
        <v>-153.78999999999996</v>
      </c>
      <c r="N271" s="15">
        <f t="shared" si="13"/>
        <v>-2346.21</v>
      </c>
      <c r="O271" t="str">
        <f t="shared" si="14"/>
        <v>No</v>
      </c>
    </row>
    <row r="272" spans="1:15" x14ac:dyDescent="0.3">
      <c r="A272" s="2" t="s">
        <v>378</v>
      </c>
      <c r="B272" s="3">
        <v>45450</v>
      </c>
      <c r="C272" s="2" t="s">
        <v>369</v>
      </c>
      <c r="D272" s="2" t="s">
        <v>14</v>
      </c>
      <c r="E272" s="2" t="s">
        <v>49</v>
      </c>
      <c r="F272" s="2" t="s">
        <v>77</v>
      </c>
      <c r="G272" s="2" t="s">
        <v>78</v>
      </c>
      <c r="H272" s="2" t="s">
        <v>25</v>
      </c>
      <c r="I272" s="12">
        <v>2921.27</v>
      </c>
      <c r="J272" s="4">
        <v>3500</v>
      </c>
      <c r="K272" s="2" t="s">
        <v>47</v>
      </c>
      <c r="L272" s="2" t="s">
        <v>27</v>
      </c>
      <c r="M272" s="17">
        <f t="shared" si="12"/>
        <v>-578.73</v>
      </c>
      <c r="N272" s="15">
        <f t="shared" si="13"/>
        <v>-2921.27</v>
      </c>
      <c r="O272" t="str">
        <f t="shared" si="14"/>
        <v>No</v>
      </c>
    </row>
    <row r="273" spans="1:15" x14ac:dyDescent="0.3">
      <c r="A273" s="5" t="s">
        <v>379</v>
      </c>
      <c r="B273" s="6">
        <v>45452</v>
      </c>
      <c r="C273" s="5" t="s">
        <v>369</v>
      </c>
      <c r="D273" s="5" t="s">
        <v>14</v>
      </c>
      <c r="E273" s="5" t="s">
        <v>104</v>
      </c>
      <c r="F273" s="5" t="s">
        <v>184</v>
      </c>
      <c r="G273" s="5" t="s">
        <v>185</v>
      </c>
      <c r="H273" s="5" t="s">
        <v>37</v>
      </c>
      <c r="I273" s="14">
        <v>1179.27</v>
      </c>
      <c r="J273" s="7">
        <v>2000</v>
      </c>
      <c r="K273" s="5" t="s">
        <v>26</v>
      </c>
      <c r="L273" s="5" t="s">
        <v>27</v>
      </c>
      <c r="M273" s="17">
        <f t="shared" si="12"/>
        <v>-820.73</v>
      </c>
      <c r="N273" s="15">
        <f t="shared" si="13"/>
        <v>-1179.27</v>
      </c>
      <c r="O273" t="str">
        <f t="shared" si="14"/>
        <v>No</v>
      </c>
    </row>
    <row r="274" spans="1:15" x14ac:dyDescent="0.3">
      <c r="A274" s="2" t="s">
        <v>380</v>
      </c>
      <c r="B274" s="3">
        <v>45452</v>
      </c>
      <c r="C274" s="2" t="s">
        <v>369</v>
      </c>
      <c r="D274" s="2" t="s">
        <v>14</v>
      </c>
      <c r="E274" s="2" t="s">
        <v>29</v>
      </c>
      <c r="F274" s="2" t="s">
        <v>238</v>
      </c>
      <c r="G274" s="2" t="s">
        <v>239</v>
      </c>
      <c r="H274" s="2" t="s">
        <v>18</v>
      </c>
      <c r="I274" s="12">
        <v>2117.0700000000002</v>
      </c>
      <c r="J274" s="4">
        <v>3000</v>
      </c>
      <c r="K274" s="2" t="s">
        <v>19</v>
      </c>
      <c r="L274" s="2" t="s">
        <v>20</v>
      </c>
      <c r="M274" s="17">
        <f t="shared" si="12"/>
        <v>-882.92999999999984</v>
      </c>
      <c r="N274" s="15">
        <f t="shared" si="13"/>
        <v>-2117.0700000000002</v>
      </c>
      <c r="O274" t="str">
        <f t="shared" si="14"/>
        <v>No</v>
      </c>
    </row>
    <row r="275" spans="1:15" x14ac:dyDescent="0.3">
      <c r="A275" s="5" t="s">
        <v>381</v>
      </c>
      <c r="B275" s="6">
        <v>45453</v>
      </c>
      <c r="C275" s="5" t="s">
        <v>369</v>
      </c>
      <c r="D275" s="5" t="s">
        <v>54</v>
      </c>
      <c r="E275" s="5" t="s">
        <v>55</v>
      </c>
      <c r="F275" s="5" t="s">
        <v>56</v>
      </c>
      <c r="G275" s="5" t="s">
        <v>57</v>
      </c>
      <c r="H275" s="5" t="s">
        <v>37</v>
      </c>
      <c r="I275" s="14">
        <v>54856.55</v>
      </c>
      <c r="J275" s="7">
        <v>0</v>
      </c>
      <c r="K275" s="5" t="s">
        <v>38</v>
      </c>
      <c r="L275" s="5" t="s">
        <v>20</v>
      </c>
      <c r="M275" s="17" t="str">
        <f t="shared" si="12"/>
        <v>0</v>
      </c>
      <c r="N275" s="15">
        <f t="shared" si="13"/>
        <v>54856.55</v>
      </c>
      <c r="O275" t="str">
        <f t="shared" si="14"/>
        <v>Yes</v>
      </c>
    </row>
    <row r="276" spans="1:15" x14ac:dyDescent="0.3">
      <c r="A276" s="2" t="s">
        <v>382</v>
      </c>
      <c r="B276" s="3">
        <v>45454</v>
      </c>
      <c r="C276" s="2" t="s">
        <v>369</v>
      </c>
      <c r="D276" s="2" t="s">
        <v>54</v>
      </c>
      <c r="E276" s="2" t="s">
        <v>55</v>
      </c>
      <c r="F276" s="2" t="s">
        <v>56</v>
      </c>
      <c r="G276" s="2" t="s">
        <v>57</v>
      </c>
      <c r="H276" s="2" t="s">
        <v>18</v>
      </c>
      <c r="I276" s="12">
        <v>51599.44</v>
      </c>
      <c r="J276" s="4">
        <v>0</v>
      </c>
      <c r="K276" s="2" t="s">
        <v>26</v>
      </c>
      <c r="L276" s="2" t="s">
        <v>20</v>
      </c>
      <c r="M276" s="17" t="str">
        <f t="shared" si="12"/>
        <v>0</v>
      </c>
      <c r="N276" s="15">
        <f t="shared" si="13"/>
        <v>51599.44</v>
      </c>
      <c r="O276" t="str">
        <f t="shared" si="14"/>
        <v>Yes</v>
      </c>
    </row>
    <row r="277" spans="1:15" x14ac:dyDescent="0.3">
      <c r="A277" s="5" t="s">
        <v>383</v>
      </c>
      <c r="B277" s="6">
        <v>45455</v>
      </c>
      <c r="C277" s="5" t="s">
        <v>369</v>
      </c>
      <c r="D277" s="5" t="s">
        <v>14</v>
      </c>
      <c r="E277" s="5" t="s">
        <v>112</v>
      </c>
      <c r="F277" s="5" t="s">
        <v>193</v>
      </c>
      <c r="G277" s="5" t="s">
        <v>194</v>
      </c>
      <c r="H277" s="5" t="s">
        <v>18</v>
      </c>
      <c r="I277" s="14">
        <v>8251.93</v>
      </c>
      <c r="J277" s="7">
        <v>8000</v>
      </c>
      <c r="K277" s="5" t="s">
        <v>47</v>
      </c>
      <c r="L277" s="5" t="s">
        <v>20</v>
      </c>
      <c r="M277" s="17">
        <f t="shared" si="12"/>
        <v>251.93000000000029</v>
      </c>
      <c r="N277" s="15">
        <f t="shared" si="13"/>
        <v>-8251.93</v>
      </c>
      <c r="O277" t="str">
        <f t="shared" si="14"/>
        <v>Yes</v>
      </c>
    </row>
    <row r="278" spans="1:15" x14ac:dyDescent="0.3">
      <c r="A278" s="2" t="s">
        <v>384</v>
      </c>
      <c r="B278" s="3">
        <v>45455</v>
      </c>
      <c r="C278" s="2" t="s">
        <v>369</v>
      </c>
      <c r="D278" s="2" t="s">
        <v>14</v>
      </c>
      <c r="E278" s="2" t="s">
        <v>44</v>
      </c>
      <c r="F278" s="2" t="s">
        <v>45</v>
      </c>
      <c r="G278" s="2" t="s">
        <v>46</v>
      </c>
      <c r="H278" s="2" t="s">
        <v>25</v>
      </c>
      <c r="I278" s="12">
        <v>9058.02</v>
      </c>
      <c r="J278" s="4">
        <v>15000</v>
      </c>
      <c r="K278" s="2" t="s">
        <v>38</v>
      </c>
      <c r="L278" s="2" t="s">
        <v>20</v>
      </c>
      <c r="M278" s="17">
        <f t="shared" si="12"/>
        <v>-5941.98</v>
      </c>
      <c r="N278" s="15">
        <f t="shared" si="13"/>
        <v>-9058.02</v>
      </c>
      <c r="O278" t="str">
        <f t="shared" si="14"/>
        <v>No</v>
      </c>
    </row>
    <row r="279" spans="1:15" x14ac:dyDescent="0.3">
      <c r="A279" s="5" t="s">
        <v>385</v>
      </c>
      <c r="B279" s="6">
        <v>45456</v>
      </c>
      <c r="C279" s="5" t="s">
        <v>369</v>
      </c>
      <c r="D279" s="5" t="s">
        <v>14</v>
      </c>
      <c r="E279" s="5" t="s">
        <v>44</v>
      </c>
      <c r="F279" s="5" t="s">
        <v>45</v>
      </c>
      <c r="G279" s="5" t="s">
        <v>46</v>
      </c>
      <c r="H279" s="5" t="s">
        <v>32</v>
      </c>
      <c r="I279" s="14">
        <v>7512.25</v>
      </c>
      <c r="J279" s="7">
        <v>15000</v>
      </c>
      <c r="K279" s="5" t="s">
        <v>47</v>
      </c>
      <c r="L279" s="5" t="s">
        <v>20</v>
      </c>
      <c r="M279" s="17">
        <f t="shared" si="12"/>
        <v>-7487.75</v>
      </c>
      <c r="N279" s="15">
        <f t="shared" si="13"/>
        <v>-7512.25</v>
      </c>
      <c r="O279" t="str">
        <f t="shared" si="14"/>
        <v>No</v>
      </c>
    </row>
    <row r="280" spans="1:15" x14ac:dyDescent="0.3">
      <c r="A280" s="2" t="s">
        <v>386</v>
      </c>
      <c r="B280" s="3">
        <v>45456</v>
      </c>
      <c r="C280" s="2" t="s">
        <v>369</v>
      </c>
      <c r="D280" s="2" t="s">
        <v>14</v>
      </c>
      <c r="E280" s="2" t="s">
        <v>104</v>
      </c>
      <c r="F280" s="2" t="s">
        <v>105</v>
      </c>
      <c r="G280" s="2" t="s">
        <v>106</v>
      </c>
      <c r="H280" s="2" t="s">
        <v>37</v>
      </c>
      <c r="I280" s="12">
        <v>1853.95</v>
      </c>
      <c r="J280" s="4">
        <v>2000</v>
      </c>
      <c r="K280" s="2" t="s">
        <v>26</v>
      </c>
      <c r="L280" s="2" t="s">
        <v>27</v>
      </c>
      <c r="M280" s="17">
        <f t="shared" si="12"/>
        <v>-146.04999999999995</v>
      </c>
      <c r="N280" s="15">
        <f t="shared" si="13"/>
        <v>-1853.95</v>
      </c>
      <c r="O280" t="str">
        <f t="shared" si="14"/>
        <v>No</v>
      </c>
    </row>
    <row r="281" spans="1:15" x14ac:dyDescent="0.3">
      <c r="A281" s="5" t="s">
        <v>387</v>
      </c>
      <c r="B281" s="6">
        <v>45457</v>
      </c>
      <c r="C281" s="5" t="s">
        <v>369</v>
      </c>
      <c r="D281" s="5" t="s">
        <v>54</v>
      </c>
      <c r="E281" s="5" t="s">
        <v>55</v>
      </c>
      <c r="F281" s="5" t="s">
        <v>56</v>
      </c>
      <c r="G281" s="5" t="s">
        <v>57</v>
      </c>
      <c r="H281" s="5" t="s">
        <v>25</v>
      </c>
      <c r="I281" s="14">
        <v>52205.74</v>
      </c>
      <c r="J281" s="7">
        <v>0</v>
      </c>
      <c r="K281" s="5" t="s">
        <v>19</v>
      </c>
      <c r="L281" s="5" t="s">
        <v>20</v>
      </c>
      <c r="M281" s="17" t="str">
        <f t="shared" si="12"/>
        <v>0</v>
      </c>
      <c r="N281" s="15">
        <f t="shared" si="13"/>
        <v>52205.74</v>
      </c>
      <c r="O281" t="str">
        <f t="shared" si="14"/>
        <v>Yes</v>
      </c>
    </row>
    <row r="282" spans="1:15" x14ac:dyDescent="0.3">
      <c r="A282" s="2" t="s">
        <v>388</v>
      </c>
      <c r="B282" s="3">
        <v>45457</v>
      </c>
      <c r="C282" s="2" t="s">
        <v>369</v>
      </c>
      <c r="D282" s="2" t="s">
        <v>14</v>
      </c>
      <c r="E282" s="2" t="s">
        <v>15</v>
      </c>
      <c r="F282" s="2" t="s">
        <v>16</v>
      </c>
      <c r="G282" s="2" t="s">
        <v>17</v>
      </c>
      <c r="H282" s="2" t="s">
        <v>37</v>
      </c>
      <c r="I282" s="12">
        <v>7879.82</v>
      </c>
      <c r="J282" s="4">
        <v>12000</v>
      </c>
      <c r="K282" s="2" t="s">
        <v>38</v>
      </c>
      <c r="L282" s="2" t="s">
        <v>20</v>
      </c>
      <c r="M282" s="17">
        <f t="shared" si="12"/>
        <v>-4120.18</v>
      </c>
      <c r="N282" s="15">
        <f t="shared" si="13"/>
        <v>-7879.82</v>
      </c>
      <c r="O282" t="str">
        <f t="shared" si="14"/>
        <v>No</v>
      </c>
    </row>
    <row r="283" spans="1:15" x14ac:dyDescent="0.3">
      <c r="A283" s="5" t="s">
        <v>389</v>
      </c>
      <c r="B283" s="6">
        <v>45457</v>
      </c>
      <c r="C283" s="5" t="s">
        <v>369</v>
      </c>
      <c r="D283" s="5" t="s">
        <v>14</v>
      </c>
      <c r="E283" s="5" t="s">
        <v>40</v>
      </c>
      <c r="F283" s="5" t="s">
        <v>97</v>
      </c>
      <c r="G283" s="5" t="s">
        <v>98</v>
      </c>
      <c r="H283" s="5" t="s">
        <v>25</v>
      </c>
      <c r="I283" s="14">
        <v>7761.44</v>
      </c>
      <c r="J283" s="7">
        <v>6000</v>
      </c>
      <c r="K283" s="5" t="s">
        <v>26</v>
      </c>
      <c r="L283" s="5" t="s">
        <v>27</v>
      </c>
      <c r="M283" s="17">
        <f t="shared" si="12"/>
        <v>1761.4399999999996</v>
      </c>
      <c r="N283" s="15">
        <f t="shared" si="13"/>
        <v>-7761.44</v>
      </c>
      <c r="O283" t="str">
        <f t="shared" si="14"/>
        <v>Yes</v>
      </c>
    </row>
    <row r="284" spans="1:15" x14ac:dyDescent="0.3">
      <c r="A284" s="2" t="s">
        <v>390</v>
      </c>
      <c r="B284" s="3">
        <v>45458</v>
      </c>
      <c r="C284" s="2" t="s">
        <v>369</v>
      </c>
      <c r="D284" s="2" t="s">
        <v>14</v>
      </c>
      <c r="E284" s="2" t="s">
        <v>15</v>
      </c>
      <c r="F284" s="2" t="s">
        <v>16</v>
      </c>
      <c r="G284" s="2" t="s">
        <v>17</v>
      </c>
      <c r="H284" s="2" t="s">
        <v>32</v>
      </c>
      <c r="I284" s="12">
        <v>7382.78</v>
      </c>
      <c r="J284" s="4">
        <v>12000</v>
      </c>
      <c r="K284" s="2" t="s">
        <v>38</v>
      </c>
      <c r="L284" s="2" t="s">
        <v>20</v>
      </c>
      <c r="M284" s="17">
        <f t="shared" si="12"/>
        <v>-4617.22</v>
      </c>
      <c r="N284" s="15">
        <f t="shared" si="13"/>
        <v>-7382.78</v>
      </c>
      <c r="O284" t="str">
        <f t="shared" si="14"/>
        <v>No</v>
      </c>
    </row>
    <row r="285" spans="1:15" x14ac:dyDescent="0.3">
      <c r="A285" s="5" t="s">
        <v>391</v>
      </c>
      <c r="B285" s="6">
        <v>45458</v>
      </c>
      <c r="C285" s="5" t="s">
        <v>369</v>
      </c>
      <c r="D285" s="5" t="s">
        <v>14</v>
      </c>
      <c r="E285" s="5" t="s">
        <v>40</v>
      </c>
      <c r="F285" s="5" t="s">
        <v>97</v>
      </c>
      <c r="G285" s="5" t="s">
        <v>98</v>
      </c>
      <c r="H285" s="5" t="s">
        <v>25</v>
      </c>
      <c r="I285" s="14">
        <v>4804.92</v>
      </c>
      <c r="J285" s="7">
        <v>6000</v>
      </c>
      <c r="K285" s="5" t="s">
        <v>26</v>
      </c>
      <c r="L285" s="5" t="s">
        <v>20</v>
      </c>
      <c r="M285" s="17">
        <f t="shared" si="12"/>
        <v>-1195.08</v>
      </c>
      <c r="N285" s="15">
        <f t="shared" si="13"/>
        <v>-4804.92</v>
      </c>
      <c r="O285" t="str">
        <f t="shared" si="14"/>
        <v>No</v>
      </c>
    </row>
    <row r="286" spans="1:15" x14ac:dyDescent="0.3">
      <c r="A286" s="2" t="s">
        <v>392</v>
      </c>
      <c r="B286" s="3">
        <v>45458</v>
      </c>
      <c r="C286" s="2" t="s">
        <v>369</v>
      </c>
      <c r="D286" s="2" t="s">
        <v>14</v>
      </c>
      <c r="E286" s="2" t="s">
        <v>112</v>
      </c>
      <c r="F286" s="2" t="s">
        <v>135</v>
      </c>
      <c r="G286" s="2" t="s">
        <v>136</v>
      </c>
      <c r="H286" s="2" t="s">
        <v>18</v>
      </c>
      <c r="I286" s="12">
        <v>4291.9799999999996</v>
      </c>
      <c r="J286" s="4">
        <v>8000</v>
      </c>
      <c r="K286" s="2" t="s">
        <v>47</v>
      </c>
      <c r="L286" s="2" t="s">
        <v>20</v>
      </c>
      <c r="M286" s="17">
        <f t="shared" si="12"/>
        <v>-3708.0200000000004</v>
      </c>
      <c r="N286" s="15">
        <f t="shared" si="13"/>
        <v>-4291.9799999999996</v>
      </c>
      <c r="O286" t="str">
        <f t="shared" si="14"/>
        <v>No</v>
      </c>
    </row>
    <row r="287" spans="1:15" x14ac:dyDescent="0.3">
      <c r="A287" s="5" t="s">
        <v>393</v>
      </c>
      <c r="B287" s="6">
        <v>45459</v>
      </c>
      <c r="C287" s="5" t="s">
        <v>369</v>
      </c>
      <c r="D287" s="5" t="s">
        <v>54</v>
      </c>
      <c r="E287" s="5" t="s">
        <v>55</v>
      </c>
      <c r="F287" s="5" t="s">
        <v>56</v>
      </c>
      <c r="G287" s="5" t="s">
        <v>57</v>
      </c>
      <c r="H287" s="5" t="s">
        <v>52</v>
      </c>
      <c r="I287" s="14">
        <v>44058.400000000001</v>
      </c>
      <c r="J287" s="7">
        <v>0</v>
      </c>
      <c r="K287" s="5" t="s">
        <v>26</v>
      </c>
      <c r="L287" s="5" t="s">
        <v>20</v>
      </c>
      <c r="M287" s="17" t="str">
        <f t="shared" si="12"/>
        <v>0</v>
      </c>
      <c r="N287" s="15">
        <f t="shared" si="13"/>
        <v>44058.400000000001</v>
      </c>
      <c r="O287" t="str">
        <f t="shared" si="14"/>
        <v>Yes</v>
      </c>
    </row>
    <row r="288" spans="1:15" x14ac:dyDescent="0.3">
      <c r="A288" s="2" t="s">
        <v>394</v>
      </c>
      <c r="B288" s="3">
        <v>45459</v>
      </c>
      <c r="C288" s="2" t="s">
        <v>369</v>
      </c>
      <c r="D288" s="2" t="s">
        <v>14</v>
      </c>
      <c r="E288" s="2" t="s">
        <v>44</v>
      </c>
      <c r="F288" s="2" t="s">
        <v>45</v>
      </c>
      <c r="G288" s="2" t="s">
        <v>46</v>
      </c>
      <c r="H288" s="2" t="s">
        <v>37</v>
      </c>
      <c r="I288" s="12">
        <v>9947.25</v>
      </c>
      <c r="J288" s="4">
        <v>15000</v>
      </c>
      <c r="K288" s="2" t="s">
        <v>47</v>
      </c>
      <c r="L288" s="2" t="s">
        <v>20</v>
      </c>
      <c r="M288" s="17">
        <f t="shared" si="12"/>
        <v>-5052.75</v>
      </c>
      <c r="N288" s="15">
        <f t="shared" si="13"/>
        <v>-9947.25</v>
      </c>
      <c r="O288" t="str">
        <f t="shared" si="14"/>
        <v>No</v>
      </c>
    </row>
    <row r="289" spans="1:15" x14ac:dyDescent="0.3">
      <c r="A289" s="5" t="s">
        <v>395</v>
      </c>
      <c r="B289" s="6">
        <v>45460</v>
      </c>
      <c r="C289" s="5" t="s">
        <v>369</v>
      </c>
      <c r="D289" s="5" t="s">
        <v>14</v>
      </c>
      <c r="E289" s="5" t="s">
        <v>29</v>
      </c>
      <c r="F289" s="5" t="s">
        <v>80</v>
      </c>
      <c r="G289" s="5" t="s">
        <v>81</v>
      </c>
      <c r="H289" s="5" t="s">
        <v>25</v>
      </c>
      <c r="I289" s="14">
        <v>3170.97</v>
      </c>
      <c r="J289" s="7">
        <v>3000</v>
      </c>
      <c r="K289" s="5" t="s">
        <v>38</v>
      </c>
      <c r="L289" s="5" t="s">
        <v>20</v>
      </c>
      <c r="M289" s="17">
        <f t="shared" si="12"/>
        <v>170.9699999999998</v>
      </c>
      <c r="N289" s="15">
        <f t="shared" si="13"/>
        <v>-3170.97</v>
      </c>
      <c r="O289" t="str">
        <f t="shared" si="14"/>
        <v>Yes</v>
      </c>
    </row>
    <row r="290" spans="1:15" x14ac:dyDescent="0.3">
      <c r="A290" s="2" t="s">
        <v>396</v>
      </c>
      <c r="B290" s="3">
        <v>45461</v>
      </c>
      <c r="C290" s="2" t="s">
        <v>369</v>
      </c>
      <c r="D290" s="2" t="s">
        <v>54</v>
      </c>
      <c r="E290" s="2" t="s">
        <v>55</v>
      </c>
      <c r="F290" s="2" t="s">
        <v>56</v>
      </c>
      <c r="G290" s="2" t="s">
        <v>57</v>
      </c>
      <c r="H290" s="2" t="s">
        <v>32</v>
      </c>
      <c r="I290" s="12">
        <v>54568.08</v>
      </c>
      <c r="J290" s="4">
        <v>0</v>
      </c>
      <c r="K290" s="2" t="s">
        <v>19</v>
      </c>
      <c r="L290" s="2" t="s">
        <v>20</v>
      </c>
      <c r="M290" s="17" t="str">
        <f t="shared" si="12"/>
        <v>0</v>
      </c>
      <c r="N290" s="15">
        <f t="shared" si="13"/>
        <v>54568.08</v>
      </c>
      <c r="O290" t="str">
        <f t="shared" si="14"/>
        <v>Yes</v>
      </c>
    </row>
    <row r="291" spans="1:15" x14ac:dyDescent="0.3">
      <c r="A291" s="5" t="s">
        <v>397</v>
      </c>
      <c r="B291" s="6">
        <v>45461</v>
      </c>
      <c r="C291" s="5" t="s">
        <v>369</v>
      </c>
      <c r="D291" s="5" t="s">
        <v>14</v>
      </c>
      <c r="E291" s="5" t="s">
        <v>40</v>
      </c>
      <c r="F291" s="5" t="s">
        <v>41</v>
      </c>
      <c r="G291" s="5" t="s">
        <v>42</v>
      </c>
      <c r="H291" s="5" t="s">
        <v>18</v>
      </c>
      <c r="I291" s="14">
        <v>6556.28</v>
      </c>
      <c r="J291" s="7">
        <v>6000</v>
      </c>
      <c r="K291" s="5" t="s">
        <v>38</v>
      </c>
      <c r="L291" s="5" t="s">
        <v>20</v>
      </c>
      <c r="M291" s="17">
        <f t="shared" si="12"/>
        <v>556.27999999999975</v>
      </c>
      <c r="N291" s="15">
        <f t="shared" si="13"/>
        <v>-6556.28</v>
      </c>
      <c r="O291" t="str">
        <f t="shared" si="14"/>
        <v>Yes</v>
      </c>
    </row>
    <row r="292" spans="1:15" x14ac:dyDescent="0.3">
      <c r="A292" s="2" t="s">
        <v>398</v>
      </c>
      <c r="B292" s="3">
        <v>45461</v>
      </c>
      <c r="C292" s="2" t="s">
        <v>369</v>
      </c>
      <c r="D292" s="2" t="s">
        <v>14</v>
      </c>
      <c r="E292" s="2" t="s">
        <v>44</v>
      </c>
      <c r="F292" s="2" t="s">
        <v>45</v>
      </c>
      <c r="G292" s="2" t="s">
        <v>46</v>
      </c>
      <c r="H292" s="2" t="s">
        <v>37</v>
      </c>
      <c r="I292" s="12">
        <v>14532.57</v>
      </c>
      <c r="J292" s="4">
        <v>15000</v>
      </c>
      <c r="K292" s="2" t="s">
        <v>19</v>
      </c>
      <c r="L292" s="2" t="s">
        <v>20</v>
      </c>
      <c r="M292" s="17">
        <f t="shared" si="12"/>
        <v>-467.43000000000029</v>
      </c>
      <c r="N292" s="15">
        <f t="shared" si="13"/>
        <v>-14532.57</v>
      </c>
      <c r="O292" t="str">
        <f t="shared" si="14"/>
        <v>No</v>
      </c>
    </row>
    <row r="293" spans="1:15" x14ac:dyDescent="0.3">
      <c r="A293" s="5" t="s">
        <v>399</v>
      </c>
      <c r="B293" s="6">
        <v>45462</v>
      </c>
      <c r="C293" s="5" t="s">
        <v>369</v>
      </c>
      <c r="D293" s="5" t="s">
        <v>14</v>
      </c>
      <c r="E293" s="5" t="s">
        <v>40</v>
      </c>
      <c r="F293" s="5" t="s">
        <v>97</v>
      </c>
      <c r="G293" s="5" t="s">
        <v>98</v>
      </c>
      <c r="H293" s="5" t="s">
        <v>37</v>
      </c>
      <c r="I293" s="14">
        <v>4469.0600000000004</v>
      </c>
      <c r="J293" s="7">
        <v>6000</v>
      </c>
      <c r="K293" s="5" t="s">
        <v>47</v>
      </c>
      <c r="L293" s="5" t="s">
        <v>27</v>
      </c>
      <c r="M293" s="17">
        <f t="shared" si="12"/>
        <v>-1530.9399999999996</v>
      </c>
      <c r="N293" s="15">
        <f t="shared" si="13"/>
        <v>-4469.0600000000004</v>
      </c>
      <c r="O293" t="str">
        <f t="shared" si="14"/>
        <v>No</v>
      </c>
    </row>
    <row r="294" spans="1:15" x14ac:dyDescent="0.3">
      <c r="A294" s="2" t="s">
        <v>400</v>
      </c>
      <c r="B294" s="3">
        <v>45463</v>
      </c>
      <c r="C294" s="2" t="s">
        <v>369</v>
      </c>
      <c r="D294" s="2" t="s">
        <v>14</v>
      </c>
      <c r="E294" s="2" t="s">
        <v>72</v>
      </c>
      <c r="F294" s="2" t="s">
        <v>73</v>
      </c>
      <c r="G294" s="2" t="s">
        <v>74</v>
      </c>
      <c r="H294" s="2" t="s">
        <v>37</v>
      </c>
      <c r="I294" s="12">
        <v>1824.93</v>
      </c>
      <c r="J294" s="4">
        <v>2000</v>
      </c>
      <c r="K294" s="2" t="s">
        <v>26</v>
      </c>
      <c r="L294" s="2" t="s">
        <v>27</v>
      </c>
      <c r="M294" s="17">
        <f t="shared" si="12"/>
        <v>-175.06999999999994</v>
      </c>
      <c r="N294" s="15">
        <f t="shared" si="13"/>
        <v>-1824.93</v>
      </c>
      <c r="O294" t="str">
        <f t="shared" si="14"/>
        <v>No</v>
      </c>
    </row>
    <row r="295" spans="1:15" x14ac:dyDescent="0.3">
      <c r="A295" s="5" t="s">
        <v>401</v>
      </c>
      <c r="B295" s="6">
        <v>45463</v>
      </c>
      <c r="C295" s="5" t="s">
        <v>369</v>
      </c>
      <c r="D295" s="5" t="s">
        <v>14</v>
      </c>
      <c r="E295" s="5" t="s">
        <v>44</v>
      </c>
      <c r="F295" s="5" t="s">
        <v>45</v>
      </c>
      <c r="G295" s="5" t="s">
        <v>46</v>
      </c>
      <c r="H295" s="5" t="s">
        <v>18</v>
      </c>
      <c r="I295" s="14">
        <v>10503.7</v>
      </c>
      <c r="J295" s="7">
        <v>15000</v>
      </c>
      <c r="K295" s="5" t="s">
        <v>26</v>
      </c>
      <c r="L295" s="5" t="s">
        <v>20</v>
      </c>
      <c r="M295" s="17">
        <f t="shared" si="12"/>
        <v>-4496.2999999999993</v>
      </c>
      <c r="N295" s="15">
        <f t="shared" si="13"/>
        <v>-10503.7</v>
      </c>
      <c r="O295" t="str">
        <f t="shared" si="14"/>
        <v>No</v>
      </c>
    </row>
    <row r="296" spans="1:15" x14ac:dyDescent="0.3">
      <c r="A296" s="2" t="s">
        <v>402</v>
      </c>
      <c r="B296" s="3">
        <v>45464</v>
      </c>
      <c r="C296" s="2" t="s">
        <v>369</v>
      </c>
      <c r="D296" s="2" t="s">
        <v>14</v>
      </c>
      <c r="E296" s="2" t="s">
        <v>34</v>
      </c>
      <c r="F296" s="2" t="s">
        <v>94</v>
      </c>
      <c r="G296" s="2" t="s">
        <v>95</v>
      </c>
      <c r="H296" s="2" t="s">
        <v>32</v>
      </c>
      <c r="I296" s="12">
        <v>2719.11</v>
      </c>
      <c r="J296" s="4">
        <v>4000</v>
      </c>
      <c r="K296" s="2" t="s">
        <v>47</v>
      </c>
      <c r="L296" s="2" t="s">
        <v>27</v>
      </c>
      <c r="M296" s="17">
        <f t="shared" si="12"/>
        <v>-1280.8899999999999</v>
      </c>
      <c r="N296" s="15">
        <f t="shared" si="13"/>
        <v>-2719.11</v>
      </c>
      <c r="O296" t="str">
        <f t="shared" si="14"/>
        <v>No</v>
      </c>
    </row>
    <row r="297" spans="1:15" x14ac:dyDescent="0.3">
      <c r="A297" s="5" t="s">
        <v>403</v>
      </c>
      <c r="B297" s="6">
        <v>45464</v>
      </c>
      <c r="C297" s="5" t="s">
        <v>369</v>
      </c>
      <c r="D297" s="5" t="s">
        <v>14</v>
      </c>
      <c r="E297" s="5" t="s">
        <v>44</v>
      </c>
      <c r="F297" s="5" t="s">
        <v>45</v>
      </c>
      <c r="G297" s="5" t="s">
        <v>46</v>
      </c>
      <c r="H297" s="5" t="s">
        <v>32</v>
      </c>
      <c r="I297" s="14">
        <v>14289.44</v>
      </c>
      <c r="J297" s="7">
        <v>15000</v>
      </c>
      <c r="K297" s="5" t="s">
        <v>38</v>
      </c>
      <c r="L297" s="5" t="s">
        <v>20</v>
      </c>
      <c r="M297" s="17">
        <f t="shared" si="12"/>
        <v>-710.55999999999949</v>
      </c>
      <c r="N297" s="15">
        <f t="shared" si="13"/>
        <v>-14289.44</v>
      </c>
      <c r="O297" t="str">
        <f t="shared" si="14"/>
        <v>No</v>
      </c>
    </row>
    <row r="298" spans="1:15" x14ac:dyDescent="0.3">
      <c r="A298" s="2" t="s">
        <v>404</v>
      </c>
      <c r="B298" s="3">
        <v>45465</v>
      </c>
      <c r="C298" s="2" t="s">
        <v>369</v>
      </c>
      <c r="D298" s="2" t="s">
        <v>14</v>
      </c>
      <c r="E298" s="2" t="s">
        <v>104</v>
      </c>
      <c r="F298" s="2" t="s">
        <v>105</v>
      </c>
      <c r="G298" s="2" t="s">
        <v>106</v>
      </c>
      <c r="H298" s="2" t="s">
        <v>37</v>
      </c>
      <c r="I298" s="12">
        <v>1935.28</v>
      </c>
      <c r="J298" s="4">
        <v>2000</v>
      </c>
      <c r="K298" s="2" t="s">
        <v>47</v>
      </c>
      <c r="L298" s="2" t="s">
        <v>20</v>
      </c>
      <c r="M298" s="17">
        <f t="shared" si="12"/>
        <v>-64.720000000000027</v>
      </c>
      <c r="N298" s="15">
        <f t="shared" si="13"/>
        <v>-1935.28</v>
      </c>
      <c r="O298" t="str">
        <f t="shared" si="14"/>
        <v>No</v>
      </c>
    </row>
    <row r="299" spans="1:15" x14ac:dyDescent="0.3">
      <c r="A299" s="5" t="s">
        <v>405</v>
      </c>
      <c r="B299" s="6">
        <v>45465</v>
      </c>
      <c r="C299" s="5" t="s">
        <v>369</v>
      </c>
      <c r="D299" s="5" t="s">
        <v>14</v>
      </c>
      <c r="E299" s="5" t="s">
        <v>40</v>
      </c>
      <c r="F299" s="5" t="s">
        <v>41</v>
      </c>
      <c r="G299" s="5" t="s">
        <v>42</v>
      </c>
      <c r="H299" s="5" t="s">
        <v>37</v>
      </c>
      <c r="I299" s="14">
        <v>6401.03</v>
      </c>
      <c r="J299" s="7">
        <v>6000</v>
      </c>
      <c r="K299" s="5" t="s">
        <v>47</v>
      </c>
      <c r="L299" s="5" t="s">
        <v>27</v>
      </c>
      <c r="M299" s="17">
        <f t="shared" si="12"/>
        <v>401.02999999999975</v>
      </c>
      <c r="N299" s="15">
        <f t="shared" si="13"/>
        <v>-6401.03</v>
      </c>
      <c r="O299" t="str">
        <f t="shared" si="14"/>
        <v>Yes</v>
      </c>
    </row>
    <row r="300" spans="1:15" x14ac:dyDescent="0.3">
      <c r="A300" s="2" t="s">
        <v>406</v>
      </c>
      <c r="B300" s="3">
        <v>45466</v>
      </c>
      <c r="C300" s="2" t="s">
        <v>369</v>
      </c>
      <c r="D300" s="2" t="s">
        <v>14</v>
      </c>
      <c r="E300" s="2" t="s">
        <v>22</v>
      </c>
      <c r="F300" s="2" t="s">
        <v>23</v>
      </c>
      <c r="G300" s="2" t="s">
        <v>24</v>
      </c>
      <c r="H300" s="2" t="s">
        <v>25</v>
      </c>
      <c r="I300" s="12">
        <v>1882.09</v>
      </c>
      <c r="J300" s="4">
        <v>2500</v>
      </c>
      <c r="K300" s="2" t="s">
        <v>47</v>
      </c>
      <c r="L300" s="2" t="s">
        <v>27</v>
      </c>
      <c r="M300" s="17">
        <f t="shared" si="12"/>
        <v>-617.91000000000008</v>
      </c>
      <c r="N300" s="15">
        <f t="shared" si="13"/>
        <v>-1882.09</v>
      </c>
      <c r="O300" t="str">
        <f t="shared" si="14"/>
        <v>No</v>
      </c>
    </row>
    <row r="301" spans="1:15" x14ac:dyDescent="0.3">
      <c r="A301" s="5" t="s">
        <v>407</v>
      </c>
      <c r="B301" s="6">
        <v>45466</v>
      </c>
      <c r="C301" s="5" t="s">
        <v>369</v>
      </c>
      <c r="D301" s="5" t="s">
        <v>14</v>
      </c>
      <c r="E301" s="5" t="s">
        <v>112</v>
      </c>
      <c r="F301" s="5" t="s">
        <v>193</v>
      </c>
      <c r="G301" s="5" t="s">
        <v>194</v>
      </c>
      <c r="H301" s="5" t="s">
        <v>25</v>
      </c>
      <c r="I301" s="14">
        <v>8232.7999999999993</v>
      </c>
      <c r="J301" s="7">
        <v>8000</v>
      </c>
      <c r="K301" s="5" t="s">
        <v>47</v>
      </c>
      <c r="L301" s="5" t="s">
        <v>20</v>
      </c>
      <c r="M301" s="17">
        <f t="shared" si="12"/>
        <v>232.79999999999927</v>
      </c>
      <c r="N301" s="15">
        <f t="shared" si="13"/>
        <v>-8232.7999999999993</v>
      </c>
      <c r="O301" t="str">
        <f t="shared" si="14"/>
        <v>Yes</v>
      </c>
    </row>
    <row r="302" spans="1:15" x14ac:dyDescent="0.3">
      <c r="A302" s="2" t="s">
        <v>408</v>
      </c>
      <c r="B302" s="3">
        <v>45467</v>
      </c>
      <c r="C302" s="2" t="s">
        <v>369</v>
      </c>
      <c r="D302" s="2" t="s">
        <v>14</v>
      </c>
      <c r="E302" s="2" t="s">
        <v>49</v>
      </c>
      <c r="F302" s="2" t="s">
        <v>180</v>
      </c>
      <c r="G302" s="2" t="s">
        <v>181</v>
      </c>
      <c r="H302" s="2" t="s">
        <v>37</v>
      </c>
      <c r="I302" s="12">
        <v>3897.14</v>
      </c>
      <c r="J302" s="4">
        <v>3500</v>
      </c>
      <c r="K302" s="2" t="s">
        <v>19</v>
      </c>
      <c r="L302" s="2" t="s">
        <v>27</v>
      </c>
      <c r="M302" s="17">
        <f t="shared" si="12"/>
        <v>397.13999999999987</v>
      </c>
      <c r="N302" s="15">
        <f t="shared" si="13"/>
        <v>-3897.14</v>
      </c>
      <c r="O302" t="str">
        <f t="shared" si="14"/>
        <v>Yes</v>
      </c>
    </row>
    <row r="303" spans="1:15" x14ac:dyDescent="0.3">
      <c r="A303" s="5" t="s">
        <v>409</v>
      </c>
      <c r="B303" s="6">
        <v>45467</v>
      </c>
      <c r="C303" s="5" t="s">
        <v>369</v>
      </c>
      <c r="D303" s="5" t="s">
        <v>14</v>
      </c>
      <c r="E303" s="5" t="s">
        <v>29</v>
      </c>
      <c r="F303" s="5" t="s">
        <v>80</v>
      </c>
      <c r="G303" s="5" t="s">
        <v>81</v>
      </c>
      <c r="H303" s="5" t="s">
        <v>32</v>
      </c>
      <c r="I303" s="14">
        <v>3236.32</v>
      </c>
      <c r="J303" s="7">
        <v>3000</v>
      </c>
      <c r="K303" s="5" t="s">
        <v>38</v>
      </c>
      <c r="L303" s="5" t="s">
        <v>20</v>
      </c>
      <c r="M303" s="17">
        <f t="shared" si="12"/>
        <v>236.32000000000016</v>
      </c>
      <c r="N303" s="15">
        <f t="shared" si="13"/>
        <v>-3236.32</v>
      </c>
      <c r="O303" t="str">
        <f t="shared" si="14"/>
        <v>Yes</v>
      </c>
    </row>
    <row r="304" spans="1:15" x14ac:dyDescent="0.3">
      <c r="A304" s="2" t="s">
        <v>410</v>
      </c>
      <c r="B304" s="3">
        <v>45468</v>
      </c>
      <c r="C304" s="2" t="s">
        <v>369</v>
      </c>
      <c r="D304" s="2" t="s">
        <v>54</v>
      </c>
      <c r="E304" s="2" t="s">
        <v>55</v>
      </c>
      <c r="F304" s="2" t="s">
        <v>56</v>
      </c>
      <c r="G304" s="2" t="s">
        <v>57</v>
      </c>
      <c r="H304" s="2" t="s">
        <v>32</v>
      </c>
      <c r="I304" s="12">
        <v>52587.97</v>
      </c>
      <c r="J304" s="4">
        <v>0</v>
      </c>
      <c r="K304" s="2" t="s">
        <v>26</v>
      </c>
      <c r="L304" s="2" t="s">
        <v>20</v>
      </c>
      <c r="M304" s="17" t="str">
        <f t="shared" si="12"/>
        <v>0</v>
      </c>
      <c r="N304" s="15">
        <f t="shared" si="13"/>
        <v>52587.97</v>
      </c>
      <c r="O304" t="str">
        <f t="shared" si="14"/>
        <v>Yes</v>
      </c>
    </row>
    <row r="305" spans="1:15" x14ac:dyDescent="0.3">
      <c r="A305" s="5" t="s">
        <v>411</v>
      </c>
      <c r="B305" s="6">
        <v>45468</v>
      </c>
      <c r="C305" s="5" t="s">
        <v>369</v>
      </c>
      <c r="D305" s="5" t="s">
        <v>54</v>
      </c>
      <c r="E305" s="5" t="s">
        <v>55</v>
      </c>
      <c r="F305" s="5" t="s">
        <v>56</v>
      </c>
      <c r="G305" s="5" t="s">
        <v>57</v>
      </c>
      <c r="H305" s="5" t="s">
        <v>37</v>
      </c>
      <c r="I305" s="14">
        <v>53809.82</v>
      </c>
      <c r="J305" s="7">
        <v>0</v>
      </c>
      <c r="K305" s="5" t="s">
        <v>26</v>
      </c>
      <c r="L305" s="5" t="s">
        <v>20</v>
      </c>
      <c r="M305" s="17" t="str">
        <f t="shared" si="12"/>
        <v>0</v>
      </c>
      <c r="N305" s="15">
        <f t="shared" si="13"/>
        <v>53809.82</v>
      </c>
      <c r="O305" t="str">
        <f t="shared" si="14"/>
        <v>Yes</v>
      </c>
    </row>
    <row r="306" spans="1:15" x14ac:dyDescent="0.3">
      <c r="A306" s="2" t="s">
        <v>412</v>
      </c>
      <c r="B306" s="3">
        <v>45468</v>
      </c>
      <c r="C306" s="2" t="s">
        <v>369</v>
      </c>
      <c r="D306" s="2" t="s">
        <v>14</v>
      </c>
      <c r="E306" s="2" t="s">
        <v>40</v>
      </c>
      <c r="F306" s="2" t="s">
        <v>97</v>
      </c>
      <c r="G306" s="2" t="s">
        <v>98</v>
      </c>
      <c r="H306" s="2" t="s">
        <v>32</v>
      </c>
      <c r="I306" s="12">
        <v>6494.38</v>
      </c>
      <c r="J306" s="4">
        <v>6000</v>
      </c>
      <c r="K306" s="2" t="s">
        <v>47</v>
      </c>
      <c r="L306" s="2" t="s">
        <v>27</v>
      </c>
      <c r="M306" s="17">
        <f t="shared" si="12"/>
        <v>494.38000000000011</v>
      </c>
      <c r="N306" s="15">
        <f t="shared" si="13"/>
        <v>-6494.38</v>
      </c>
      <c r="O306" t="str">
        <f t="shared" si="14"/>
        <v>Yes</v>
      </c>
    </row>
    <row r="307" spans="1:15" x14ac:dyDescent="0.3">
      <c r="A307" s="5" t="s">
        <v>413</v>
      </c>
      <c r="B307" s="6">
        <v>45469</v>
      </c>
      <c r="C307" s="5" t="s">
        <v>369</v>
      </c>
      <c r="D307" s="5" t="s">
        <v>14</v>
      </c>
      <c r="E307" s="5" t="s">
        <v>34</v>
      </c>
      <c r="F307" s="5" t="s">
        <v>35</v>
      </c>
      <c r="G307" s="5" t="s">
        <v>36</v>
      </c>
      <c r="H307" s="5" t="s">
        <v>18</v>
      </c>
      <c r="I307" s="14">
        <v>2881.74</v>
      </c>
      <c r="J307" s="7">
        <v>4000</v>
      </c>
      <c r="K307" s="5" t="s">
        <v>38</v>
      </c>
      <c r="L307" s="5" t="s">
        <v>27</v>
      </c>
      <c r="M307" s="17">
        <f t="shared" si="12"/>
        <v>-1118.2600000000002</v>
      </c>
      <c r="N307" s="15">
        <f t="shared" si="13"/>
        <v>-2881.74</v>
      </c>
      <c r="O307" t="str">
        <f t="shared" si="14"/>
        <v>No</v>
      </c>
    </row>
    <row r="308" spans="1:15" x14ac:dyDescent="0.3">
      <c r="A308" s="2" t="s">
        <v>414</v>
      </c>
      <c r="B308" s="3">
        <v>45469</v>
      </c>
      <c r="C308" s="2" t="s">
        <v>369</v>
      </c>
      <c r="D308" s="2" t="s">
        <v>14</v>
      </c>
      <c r="E308" s="2" t="s">
        <v>40</v>
      </c>
      <c r="F308" s="2" t="s">
        <v>41</v>
      </c>
      <c r="G308" s="2" t="s">
        <v>42</v>
      </c>
      <c r="H308" s="2" t="s">
        <v>37</v>
      </c>
      <c r="I308" s="12">
        <v>6899.05</v>
      </c>
      <c r="J308" s="4">
        <v>6000</v>
      </c>
      <c r="K308" s="2" t="s">
        <v>26</v>
      </c>
      <c r="L308" s="2" t="s">
        <v>27</v>
      </c>
      <c r="M308" s="17">
        <f t="shared" si="12"/>
        <v>899.05000000000018</v>
      </c>
      <c r="N308" s="15">
        <f t="shared" si="13"/>
        <v>-6899.05</v>
      </c>
      <c r="O308" t="str">
        <f t="shared" si="14"/>
        <v>Yes</v>
      </c>
    </row>
    <row r="309" spans="1:15" x14ac:dyDescent="0.3">
      <c r="A309" s="5" t="s">
        <v>415</v>
      </c>
      <c r="B309" s="6">
        <v>45470</v>
      </c>
      <c r="C309" s="5" t="s">
        <v>369</v>
      </c>
      <c r="D309" s="5" t="s">
        <v>14</v>
      </c>
      <c r="E309" s="5" t="s">
        <v>112</v>
      </c>
      <c r="F309" s="5" t="s">
        <v>135</v>
      </c>
      <c r="G309" s="5" t="s">
        <v>136</v>
      </c>
      <c r="H309" s="5" t="s">
        <v>37</v>
      </c>
      <c r="I309" s="14">
        <v>7257.46</v>
      </c>
      <c r="J309" s="7">
        <v>8000</v>
      </c>
      <c r="K309" s="5" t="s">
        <v>47</v>
      </c>
      <c r="L309" s="5" t="s">
        <v>20</v>
      </c>
      <c r="M309" s="17">
        <f t="shared" si="12"/>
        <v>-742.54</v>
      </c>
      <c r="N309" s="15">
        <f t="shared" si="13"/>
        <v>-7257.46</v>
      </c>
      <c r="O309" t="str">
        <f t="shared" si="14"/>
        <v>No</v>
      </c>
    </row>
    <row r="310" spans="1:15" x14ac:dyDescent="0.3">
      <c r="A310" s="2" t="s">
        <v>416</v>
      </c>
      <c r="B310" s="3">
        <v>45470</v>
      </c>
      <c r="C310" s="2" t="s">
        <v>369</v>
      </c>
      <c r="D310" s="2" t="s">
        <v>14</v>
      </c>
      <c r="E310" s="2" t="s">
        <v>29</v>
      </c>
      <c r="F310" s="2" t="s">
        <v>30</v>
      </c>
      <c r="G310" s="2" t="s">
        <v>31</v>
      </c>
      <c r="H310" s="2" t="s">
        <v>18</v>
      </c>
      <c r="I310" s="12">
        <v>1936.97</v>
      </c>
      <c r="J310" s="4">
        <v>3000</v>
      </c>
      <c r="K310" s="2" t="s">
        <v>26</v>
      </c>
      <c r="L310" s="2" t="s">
        <v>20</v>
      </c>
      <c r="M310" s="17">
        <f t="shared" si="12"/>
        <v>-1063.03</v>
      </c>
      <c r="N310" s="15">
        <f t="shared" si="13"/>
        <v>-1936.97</v>
      </c>
      <c r="O310" t="str">
        <f t="shared" si="14"/>
        <v>No</v>
      </c>
    </row>
    <row r="311" spans="1:15" x14ac:dyDescent="0.3">
      <c r="A311" s="5" t="s">
        <v>417</v>
      </c>
      <c r="B311" s="6">
        <v>45471</v>
      </c>
      <c r="C311" s="5" t="s">
        <v>369</v>
      </c>
      <c r="D311" s="5" t="s">
        <v>14</v>
      </c>
      <c r="E311" s="5" t="s">
        <v>72</v>
      </c>
      <c r="F311" s="5" t="s">
        <v>132</v>
      </c>
      <c r="G311" s="5" t="s">
        <v>133</v>
      </c>
      <c r="H311" s="5" t="s">
        <v>18</v>
      </c>
      <c r="I311" s="14">
        <v>1934.96</v>
      </c>
      <c r="J311" s="7">
        <v>2000</v>
      </c>
      <c r="K311" s="5" t="s">
        <v>47</v>
      </c>
      <c r="L311" s="5" t="s">
        <v>27</v>
      </c>
      <c r="M311" s="17">
        <f t="shared" si="12"/>
        <v>-65.039999999999964</v>
      </c>
      <c r="N311" s="15">
        <f t="shared" si="13"/>
        <v>-1934.96</v>
      </c>
      <c r="O311" t="str">
        <f t="shared" si="14"/>
        <v>No</v>
      </c>
    </row>
    <row r="312" spans="1:15" x14ac:dyDescent="0.3">
      <c r="A312" s="2" t="s">
        <v>418</v>
      </c>
      <c r="B312" s="3">
        <v>45471</v>
      </c>
      <c r="C312" s="2" t="s">
        <v>369</v>
      </c>
      <c r="D312" s="2" t="s">
        <v>14</v>
      </c>
      <c r="E312" s="2" t="s">
        <v>112</v>
      </c>
      <c r="F312" s="2" t="s">
        <v>135</v>
      </c>
      <c r="G312" s="2" t="s">
        <v>136</v>
      </c>
      <c r="H312" s="2" t="s">
        <v>37</v>
      </c>
      <c r="I312" s="12">
        <v>5061.34</v>
      </c>
      <c r="J312" s="4">
        <v>8000</v>
      </c>
      <c r="K312" s="2" t="s">
        <v>19</v>
      </c>
      <c r="L312" s="2" t="s">
        <v>20</v>
      </c>
      <c r="M312" s="17">
        <f t="shared" si="12"/>
        <v>-2938.66</v>
      </c>
      <c r="N312" s="15">
        <f t="shared" si="13"/>
        <v>-5061.34</v>
      </c>
      <c r="O312" t="str">
        <f t="shared" si="14"/>
        <v>No</v>
      </c>
    </row>
    <row r="313" spans="1:15" x14ac:dyDescent="0.3">
      <c r="A313" s="5" t="s">
        <v>419</v>
      </c>
      <c r="B313" s="6">
        <v>45472</v>
      </c>
      <c r="C313" s="5" t="s">
        <v>369</v>
      </c>
      <c r="D313" s="5" t="s">
        <v>14</v>
      </c>
      <c r="E313" s="5" t="s">
        <v>22</v>
      </c>
      <c r="F313" s="5" t="s">
        <v>66</v>
      </c>
      <c r="G313" s="5" t="s">
        <v>67</v>
      </c>
      <c r="H313" s="5" t="s">
        <v>18</v>
      </c>
      <c r="I313" s="14">
        <v>2297.54</v>
      </c>
      <c r="J313" s="7">
        <v>2500</v>
      </c>
      <c r="K313" s="5" t="s">
        <v>26</v>
      </c>
      <c r="L313" s="5" t="s">
        <v>27</v>
      </c>
      <c r="M313" s="17">
        <f t="shared" si="12"/>
        <v>-202.46000000000004</v>
      </c>
      <c r="N313" s="15">
        <f t="shared" si="13"/>
        <v>-2297.54</v>
      </c>
      <c r="O313" t="str">
        <f t="shared" si="14"/>
        <v>No</v>
      </c>
    </row>
    <row r="314" spans="1:15" x14ac:dyDescent="0.3">
      <c r="A314" s="2" t="s">
        <v>420</v>
      </c>
      <c r="B314" s="3">
        <v>45473</v>
      </c>
      <c r="C314" s="2" t="s">
        <v>369</v>
      </c>
      <c r="D314" s="2" t="s">
        <v>54</v>
      </c>
      <c r="E314" s="2" t="s">
        <v>87</v>
      </c>
      <c r="F314" s="2" t="s">
        <v>88</v>
      </c>
      <c r="G314" s="2" t="s">
        <v>89</v>
      </c>
      <c r="H314" s="2" t="s">
        <v>37</v>
      </c>
      <c r="I314" s="12">
        <v>5939.88</v>
      </c>
      <c r="J314" s="4">
        <v>0</v>
      </c>
      <c r="K314" s="2" t="s">
        <v>38</v>
      </c>
      <c r="L314" s="2" t="s">
        <v>27</v>
      </c>
      <c r="M314" s="17" t="str">
        <f t="shared" si="12"/>
        <v>0</v>
      </c>
      <c r="N314" s="15">
        <f t="shared" si="13"/>
        <v>5939.88</v>
      </c>
      <c r="O314" t="str">
        <f t="shared" si="14"/>
        <v>Yes</v>
      </c>
    </row>
    <row r="315" spans="1:15" x14ac:dyDescent="0.3">
      <c r="A315" s="5" t="s">
        <v>421</v>
      </c>
      <c r="B315" s="6">
        <v>45473</v>
      </c>
      <c r="C315" s="5" t="s">
        <v>369</v>
      </c>
      <c r="D315" s="5" t="s">
        <v>14</v>
      </c>
      <c r="E315" s="5" t="s">
        <v>72</v>
      </c>
      <c r="F315" s="5" t="s">
        <v>73</v>
      </c>
      <c r="G315" s="5" t="s">
        <v>74</v>
      </c>
      <c r="H315" s="5" t="s">
        <v>32</v>
      </c>
      <c r="I315" s="14">
        <v>2462.33</v>
      </c>
      <c r="J315" s="7">
        <v>2000</v>
      </c>
      <c r="K315" s="5" t="s">
        <v>26</v>
      </c>
      <c r="L315" s="5" t="s">
        <v>27</v>
      </c>
      <c r="M315" s="17">
        <f t="shared" si="12"/>
        <v>462.32999999999993</v>
      </c>
      <c r="N315" s="15">
        <f t="shared" si="13"/>
        <v>-2462.33</v>
      </c>
      <c r="O315" t="str">
        <f t="shared" si="14"/>
        <v>Yes</v>
      </c>
    </row>
    <row r="316" spans="1:15" x14ac:dyDescent="0.3">
      <c r="A316" s="2" t="s">
        <v>422</v>
      </c>
      <c r="B316" s="3">
        <v>45473</v>
      </c>
      <c r="C316" s="2" t="s">
        <v>369</v>
      </c>
      <c r="D316" s="2" t="s">
        <v>14</v>
      </c>
      <c r="E316" s="2" t="s">
        <v>29</v>
      </c>
      <c r="F316" s="2" t="s">
        <v>109</v>
      </c>
      <c r="G316" s="2" t="s">
        <v>110</v>
      </c>
      <c r="H316" s="2" t="s">
        <v>37</v>
      </c>
      <c r="I316" s="12">
        <v>3599.2</v>
      </c>
      <c r="J316" s="4">
        <v>3000</v>
      </c>
      <c r="K316" s="2" t="s">
        <v>47</v>
      </c>
      <c r="L316" s="2" t="s">
        <v>20</v>
      </c>
      <c r="M316" s="17">
        <f t="shared" si="12"/>
        <v>599.19999999999982</v>
      </c>
      <c r="N316" s="15">
        <f t="shared" si="13"/>
        <v>-3599.2</v>
      </c>
      <c r="O316" t="str">
        <f t="shared" si="14"/>
        <v>Yes</v>
      </c>
    </row>
    <row r="317" spans="1:15" x14ac:dyDescent="0.3">
      <c r="A317" s="5" t="s">
        <v>423</v>
      </c>
      <c r="B317" s="6">
        <v>45474</v>
      </c>
      <c r="C317" s="5" t="s">
        <v>424</v>
      </c>
      <c r="D317" s="5" t="s">
        <v>14</v>
      </c>
      <c r="E317" s="5" t="s">
        <v>22</v>
      </c>
      <c r="F317" s="5" t="s">
        <v>23</v>
      </c>
      <c r="G317" s="5" t="s">
        <v>24</v>
      </c>
      <c r="H317" s="5" t="s">
        <v>25</v>
      </c>
      <c r="I317" s="14">
        <v>1624.65</v>
      </c>
      <c r="J317" s="7">
        <v>2500</v>
      </c>
      <c r="K317" s="5" t="s">
        <v>19</v>
      </c>
      <c r="L317" s="5" t="s">
        <v>27</v>
      </c>
      <c r="M317" s="17">
        <f t="shared" si="12"/>
        <v>-875.34999999999991</v>
      </c>
      <c r="N317" s="15">
        <f t="shared" si="13"/>
        <v>-1624.65</v>
      </c>
      <c r="O317" t="str">
        <f t="shared" si="14"/>
        <v>No</v>
      </c>
    </row>
    <row r="318" spans="1:15" x14ac:dyDescent="0.3">
      <c r="A318" s="2" t="s">
        <v>425</v>
      </c>
      <c r="B318" s="3">
        <v>45474</v>
      </c>
      <c r="C318" s="2" t="s">
        <v>424</v>
      </c>
      <c r="D318" s="2" t="s">
        <v>14</v>
      </c>
      <c r="E318" s="2" t="s">
        <v>44</v>
      </c>
      <c r="F318" s="2" t="s">
        <v>45</v>
      </c>
      <c r="G318" s="2" t="s">
        <v>46</v>
      </c>
      <c r="H318" s="2" t="s">
        <v>52</v>
      </c>
      <c r="I318" s="12">
        <v>8423.2900000000009</v>
      </c>
      <c r="J318" s="4">
        <v>15000</v>
      </c>
      <c r="K318" s="2" t="s">
        <v>47</v>
      </c>
      <c r="L318" s="2" t="s">
        <v>20</v>
      </c>
      <c r="M318" s="17">
        <f t="shared" si="12"/>
        <v>-6576.7099999999991</v>
      </c>
      <c r="N318" s="15">
        <f t="shared" si="13"/>
        <v>-8423.2900000000009</v>
      </c>
      <c r="O318" t="str">
        <f t="shared" si="14"/>
        <v>No</v>
      </c>
    </row>
    <row r="319" spans="1:15" x14ac:dyDescent="0.3">
      <c r="A319" s="5" t="s">
        <v>426</v>
      </c>
      <c r="B319" s="6">
        <v>45475</v>
      </c>
      <c r="C319" s="5" t="s">
        <v>424</v>
      </c>
      <c r="D319" s="5" t="s">
        <v>54</v>
      </c>
      <c r="E319" s="5" t="s">
        <v>55</v>
      </c>
      <c r="F319" s="5" t="s">
        <v>56</v>
      </c>
      <c r="G319" s="5" t="s">
        <v>57</v>
      </c>
      <c r="H319" s="5" t="s">
        <v>37</v>
      </c>
      <c r="I319" s="14">
        <v>48074.77</v>
      </c>
      <c r="J319" s="7">
        <v>0</v>
      </c>
      <c r="K319" s="5" t="s">
        <v>38</v>
      </c>
      <c r="L319" s="5" t="s">
        <v>20</v>
      </c>
      <c r="M319" s="17" t="str">
        <f t="shared" si="12"/>
        <v>0</v>
      </c>
      <c r="N319" s="15">
        <f t="shared" si="13"/>
        <v>48074.77</v>
      </c>
      <c r="O319" t="str">
        <f t="shared" si="14"/>
        <v>Yes</v>
      </c>
    </row>
    <row r="320" spans="1:15" x14ac:dyDescent="0.3">
      <c r="A320" s="2" t="s">
        <v>427</v>
      </c>
      <c r="B320" s="3">
        <v>45475</v>
      </c>
      <c r="C320" s="2" t="s">
        <v>424</v>
      </c>
      <c r="D320" s="2" t="s">
        <v>54</v>
      </c>
      <c r="E320" s="2" t="s">
        <v>55</v>
      </c>
      <c r="F320" s="2" t="s">
        <v>56</v>
      </c>
      <c r="G320" s="2" t="s">
        <v>57</v>
      </c>
      <c r="H320" s="2" t="s">
        <v>25</v>
      </c>
      <c r="I320" s="12">
        <v>51545.5</v>
      </c>
      <c r="J320" s="4">
        <v>0</v>
      </c>
      <c r="K320" s="2" t="s">
        <v>26</v>
      </c>
      <c r="L320" s="2" t="s">
        <v>20</v>
      </c>
      <c r="M320" s="17" t="str">
        <f t="shared" si="12"/>
        <v>0</v>
      </c>
      <c r="N320" s="15">
        <f t="shared" si="13"/>
        <v>51545.5</v>
      </c>
      <c r="O320" t="str">
        <f t="shared" si="14"/>
        <v>Yes</v>
      </c>
    </row>
    <row r="321" spans="1:15" x14ac:dyDescent="0.3">
      <c r="A321" s="5" t="s">
        <v>428</v>
      </c>
      <c r="B321" s="6">
        <v>45476</v>
      </c>
      <c r="C321" s="5" t="s">
        <v>424</v>
      </c>
      <c r="D321" s="5" t="s">
        <v>14</v>
      </c>
      <c r="E321" s="5" t="s">
        <v>104</v>
      </c>
      <c r="F321" s="5" t="s">
        <v>184</v>
      </c>
      <c r="G321" s="5" t="s">
        <v>185</v>
      </c>
      <c r="H321" s="5" t="s">
        <v>37</v>
      </c>
      <c r="I321" s="14">
        <v>2511.13</v>
      </c>
      <c r="J321" s="7">
        <v>2000</v>
      </c>
      <c r="K321" s="5" t="s">
        <v>26</v>
      </c>
      <c r="L321" s="5" t="s">
        <v>27</v>
      </c>
      <c r="M321" s="17">
        <f t="shared" si="12"/>
        <v>511.13000000000011</v>
      </c>
      <c r="N321" s="15">
        <f t="shared" si="13"/>
        <v>-2511.13</v>
      </c>
      <c r="O321" t="str">
        <f t="shared" si="14"/>
        <v>Yes</v>
      </c>
    </row>
    <row r="322" spans="1:15" x14ac:dyDescent="0.3">
      <c r="A322" s="2" t="s">
        <v>429</v>
      </c>
      <c r="B322" s="3">
        <v>45476</v>
      </c>
      <c r="C322" s="2" t="s">
        <v>424</v>
      </c>
      <c r="D322" s="2" t="s">
        <v>14</v>
      </c>
      <c r="E322" s="2" t="s">
        <v>15</v>
      </c>
      <c r="F322" s="2" t="s">
        <v>16</v>
      </c>
      <c r="G322" s="2" t="s">
        <v>17</v>
      </c>
      <c r="H322" s="2" t="s">
        <v>37</v>
      </c>
      <c r="I322" s="12">
        <v>6017.8</v>
      </c>
      <c r="J322" s="4">
        <v>12000</v>
      </c>
      <c r="K322" s="2" t="s">
        <v>19</v>
      </c>
      <c r="L322" s="2" t="s">
        <v>20</v>
      </c>
      <c r="M322" s="17">
        <f t="shared" si="12"/>
        <v>-5982.2</v>
      </c>
      <c r="N322" s="15">
        <f t="shared" si="13"/>
        <v>-6017.8</v>
      </c>
      <c r="O322" t="str">
        <f t="shared" si="14"/>
        <v>No</v>
      </c>
    </row>
    <row r="323" spans="1:15" x14ac:dyDescent="0.3">
      <c r="A323" s="5" t="s">
        <v>430</v>
      </c>
      <c r="B323" s="6">
        <v>45476</v>
      </c>
      <c r="C323" s="5" t="s">
        <v>424</v>
      </c>
      <c r="D323" s="5" t="s">
        <v>14</v>
      </c>
      <c r="E323" s="5" t="s">
        <v>34</v>
      </c>
      <c r="F323" s="5" t="s">
        <v>94</v>
      </c>
      <c r="G323" s="5" t="s">
        <v>95</v>
      </c>
      <c r="H323" s="5" t="s">
        <v>32</v>
      </c>
      <c r="I323" s="14">
        <v>4013.13</v>
      </c>
      <c r="J323" s="7">
        <v>4000</v>
      </c>
      <c r="K323" s="5" t="s">
        <v>19</v>
      </c>
      <c r="L323" s="5" t="s">
        <v>27</v>
      </c>
      <c r="M323" s="17">
        <f t="shared" ref="M323:M386" si="15">IF(J323=0,"0",I323-J323)</f>
        <v>13.130000000000109</v>
      </c>
      <c r="N323" s="15">
        <f t="shared" ref="N323:N386" si="16">IF(D323="Income",I323,-I323)</f>
        <v>-4013.13</v>
      </c>
      <c r="O323" t="str">
        <f t="shared" ref="O323:O386" si="17">IF(M323&gt;0,"Yes","No")</f>
        <v>Yes</v>
      </c>
    </row>
    <row r="324" spans="1:15" x14ac:dyDescent="0.3">
      <c r="A324" s="2" t="s">
        <v>431</v>
      </c>
      <c r="B324" s="3">
        <v>45476</v>
      </c>
      <c r="C324" s="2" t="s">
        <v>424</v>
      </c>
      <c r="D324" s="2" t="s">
        <v>14</v>
      </c>
      <c r="E324" s="2" t="s">
        <v>112</v>
      </c>
      <c r="F324" s="2" t="s">
        <v>113</v>
      </c>
      <c r="G324" s="2" t="s">
        <v>114</v>
      </c>
      <c r="H324" s="2" t="s">
        <v>18</v>
      </c>
      <c r="I324" s="12">
        <v>5489.1</v>
      </c>
      <c r="J324" s="4">
        <v>8000</v>
      </c>
      <c r="K324" s="2" t="s">
        <v>38</v>
      </c>
      <c r="L324" s="2" t="s">
        <v>20</v>
      </c>
      <c r="M324" s="17">
        <f t="shared" si="15"/>
        <v>-2510.8999999999996</v>
      </c>
      <c r="N324" s="15">
        <f t="shared" si="16"/>
        <v>-5489.1</v>
      </c>
      <c r="O324" t="str">
        <f t="shared" si="17"/>
        <v>No</v>
      </c>
    </row>
    <row r="325" spans="1:15" x14ac:dyDescent="0.3">
      <c r="A325" s="5" t="s">
        <v>432</v>
      </c>
      <c r="B325" s="6">
        <v>45477</v>
      </c>
      <c r="C325" s="5" t="s">
        <v>424</v>
      </c>
      <c r="D325" s="5" t="s">
        <v>14</v>
      </c>
      <c r="E325" s="5" t="s">
        <v>49</v>
      </c>
      <c r="F325" s="5" t="s">
        <v>50</v>
      </c>
      <c r="G325" s="5" t="s">
        <v>51</v>
      </c>
      <c r="H325" s="5" t="s">
        <v>37</v>
      </c>
      <c r="I325" s="14">
        <v>3164.4</v>
      </c>
      <c r="J325" s="7">
        <v>3500</v>
      </c>
      <c r="K325" s="5" t="s">
        <v>38</v>
      </c>
      <c r="L325" s="5" t="s">
        <v>27</v>
      </c>
      <c r="M325" s="17">
        <f t="shared" si="15"/>
        <v>-335.59999999999991</v>
      </c>
      <c r="N325" s="15">
        <f t="shared" si="16"/>
        <v>-3164.4</v>
      </c>
      <c r="O325" t="str">
        <f t="shared" si="17"/>
        <v>No</v>
      </c>
    </row>
    <row r="326" spans="1:15" x14ac:dyDescent="0.3">
      <c r="A326" s="2" t="s">
        <v>433</v>
      </c>
      <c r="B326" s="3">
        <v>45477</v>
      </c>
      <c r="C326" s="2" t="s">
        <v>424</v>
      </c>
      <c r="D326" s="2" t="s">
        <v>54</v>
      </c>
      <c r="E326" s="2" t="s">
        <v>87</v>
      </c>
      <c r="F326" s="2" t="s">
        <v>176</v>
      </c>
      <c r="G326" s="2" t="s">
        <v>177</v>
      </c>
      <c r="H326" s="2" t="s">
        <v>18</v>
      </c>
      <c r="I326" s="12">
        <v>3629.18</v>
      </c>
      <c r="J326" s="4">
        <v>0</v>
      </c>
      <c r="K326" s="2" t="s">
        <v>38</v>
      </c>
      <c r="L326" s="2" t="s">
        <v>27</v>
      </c>
      <c r="M326" s="17" t="str">
        <f t="shared" si="15"/>
        <v>0</v>
      </c>
      <c r="N326" s="15">
        <f t="shared" si="16"/>
        <v>3629.18</v>
      </c>
      <c r="O326" t="str">
        <f t="shared" si="17"/>
        <v>Yes</v>
      </c>
    </row>
    <row r="327" spans="1:15" x14ac:dyDescent="0.3">
      <c r="A327" s="5" t="s">
        <v>434</v>
      </c>
      <c r="B327" s="6">
        <v>45478</v>
      </c>
      <c r="C327" s="5" t="s">
        <v>424</v>
      </c>
      <c r="D327" s="5" t="s">
        <v>14</v>
      </c>
      <c r="E327" s="5" t="s">
        <v>112</v>
      </c>
      <c r="F327" s="5" t="s">
        <v>135</v>
      </c>
      <c r="G327" s="5" t="s">
        <v>136</v>
      </c>
      <c r="H327" s="5" t="s">
        <v>25</v>
      </c>
      <c r="I327" s="14">
        <v>5332.1</v>
      </c>
      <c r="J327" s="7">
        <v>8000</v>
      </c>
      <c r="K327" s="5" t="s">
        <v>38</v>
      </c>
      <c r="L327" s="5" t="s">
        <v>20</v>
      </c>
      <c r="M327" s="17">
        <f t="shared" si="15"/>
        <v>-2667.8999999999996</v>
      </c>
      <c r="N327" s="15">
        <f t="shared" si="16"/>
        <v>-5332.1</v>
      </c>
      <c r="O327" t="str">
        <f t="shared" si="17"/>
        <v>No</v>
      </c>
    </row>
    <row r="328" spans="1:15" x14ac:dyDescent="0.3">
      <c r="A328" s="2" t="s">
        <v>435</v>
      </c>
      <c r="B328" s="3">
        <v>45478</v>
      </c>
      <c r="C328" s="2" t="s">
        <v>424</v>
      </c>
      <c r="D328" s="2" t="s">
        <v>14</v>
      </c>
      <c r="E328" s="2" t="s">
        <v>72</v>
      </c>
      <c r="F328" s="2" t="s">
        <v>132</v>
      </c>
      <c r="G328" s="2" t="s">
        <v>133</v>
      </c>
      <c r="H328" s="2" t="s">
        <v>52</v>
      </c>
      <c r="I328" s="12">
        <v>2568.23</v>
      </c>
      <c r="J328" s="4">
        <v>2000</v>
      </c>
      <c r="K328" s="2" t="s">
        <v>47</v>
      </c>
      <c r="L328" s="2" t="s">
        <v>27</v>
      </c>
      <c r="M328" s="17">
        <f t="shared" si="15"/>
        <v>568.23</v>
      </c>
      <c r="N328" s="15">
        <f t="shared" si="16"/>
        <v>-2568.23</v>
      </c>
      <c r="O328" t="str">
        <f t="shared" si="17"/>
        <v>Yes</v>
      </c>
    </row>
    <row r="329" spans="1:15" x14ac:dyDescent="0.3">
      <c r="A329" s="5" t="s">
        <v>436</v>
      </c>
      <c r="B329" s="6">
        <v>45478</v>
      </c>
      <c r="C329" s="5" t="s">
        <v>424</v>
      </c>
      <c r="D329" s="5" t="s">
        <v>14</v>
      </c>
      <c r="E329" s="5" t="s">
        <v>112</v>
      </c>
      <c r="F329" s="5" t="s">
        <v>135</v>
      </c>
      <c r="G329" s="5" t="s">
        <v>136</v>
      </c>
      <c r="H329" s="5" t="s">
        <v>52</v>
      </c>
      <c r="I329" s="14">
        <v>5751.33</v>
      </c>
      <c r="J329" s="7">
        <v>8000</v>
      </c>
      <c r="K329" s="5" t="s">
        <v>38</v>
      </c>
      <c r="L329" s="5" t="s">
        <v>20</v>
      </c>
      <c r="M329" s="17">
        <f t="shared" si="15"/>
        <v>-2248.67</v>
      </c>
      <c r="N329" s="15">
        <f t="shared" si="16"/>
        <v>-5751.33</v>
      </c>
      <c r="O329" t="str">
        <f t="shared" si="17"/>
        <v>No</v>
      </c>
    </row>
    <row r="330" spans="1:15" x14ac:dyDescent="0.3">
      <c r="A330" s="2" t="s">
        <v>437</v>
      </c>
      <c r="B330" s="3">
        <v>45479</v>
      </c>
      <c r="C330" s="2" t="s">
        <v>424</v>
      </c>
      <c r="D330" s="2" t="s">
        <v>14</v>
      </c>
      <c r="E330" s="2" t="s">
        <v>44</v>
      </c>
      <c r="F330" s="2" t="s">
        <v>45</v>
      </c>
      <c r="G330" s="2" t="s">
        <v>46</v>
      </c>
      <c r="H330" s="2" t="s">
        <v>37</v>
      </c>
      <c r="I330" s="12">
        <v>17423.32</v>
      </c>
      <c r="J330" s="4">
        <v>15000</v>
      </c>
      <c r="K330" s="2" t="s">
        <v>19</v>
      </c>
      <c r="L330" s="2" t="s">
        <v>20</v>
      </c>
      <c r="M330" s="17">
        <f t="shared" si="15"/>
        <v>2423.3199999999997</v>
      </c>
      <c r="N330" s="15">
        <f t="shared" si="16"/>
        <v>-17423.32</v>
      </c>
      <c r="O330" t="str">
        <f t="shared" si="17"/>
        <v>Yes</v>
      </c>
    </row>
    <row r="331" spans="1:15" x14ac:dyDescent="0.3">
      <c r="A331" s="5" t="s">
        <v>438</v>
      </c>
      <c r="B331" s="6">
        <v>45480</v>
      </c>
      <c r="C331" s="5" t="s">
        <v>424</v>
      </c>
      <c r="D331" s="5" t="s">
        <v>14</v>
      </c>
      <c r="E331" s="5" t="s">
        <v>34</v>
      </c>
      <c r="F331" s="5" t="s">
        <v>94</v>
      </c>
      <c r="G331" s="5" t="s">
        <v>95</v>
      </c>
      <c r="H331" s="5" t="s">
        <v>37</v>
      </c>
      <c r="I331" s="14">
        <v>3831.68</v>
      </c>
      <c r="J331" s="7">
        <v>4000</v>
      </c>
      <c r="K331" s="5" t="s">
        <v>19</v>
      </c>
      <c r="L331" s="5" t="s">
        <v>27</v>
      </c>
      <c r="M331" s="17">
        <f t="shared" si="15"/>
        <v>-168.32000000000016</v>
      </c>
      <c r="N331" s="15">
        <f t="shared" si="16"/>
        <v>-3831.68</v>
      </c>
      <c r="O331" t="str">
        <f t="shared" si="17"/>
        <v>No</v>
      </c>
    </row>
    <row r="332" spans="1:15" x14ac:dyDescent="0.3">
      <c r="A332" s="2" t="s">
        <v>439</v>
      </c>
      <c r="B332" s="3">
        <v>45480</v>
      </c>
      <c r="C332" s="2" t="s">
        <v>424</v>
      </c>
      <c r="D332" s="2" t="s">
        <v>14</v>
      </c>
      <c r="E332" s="2" t="s">
        <v>15</v>
      </c>
      <c r="F332" s="2" t="s">
        <v>83</v>
      </c>
      <c r="G332" s="2" t="s">
        <v>84</v>
      </c>
      <c r="H332" s="2" t="s">
        <v>37</v>
      </c>
      <c r="I332" s="12">
        <v>9172.56</v>
      </c>
      <c r="J332" s="4">
        <v>12000</v>
      </c>
      <c r="K332" s="2" t="s">
        <v>47</v>
      </c>
      <c r="L332" s="2" t="s">
        <v>20</v>
      </c>
      <c r="M332" s="17">
        <f t="shared" si="15"/>
        <v>-2827.4400000000005</v>
      </c>
      <c r="N332" s="15">
        <f t="shared" si="16"/>
        <v>-9172.56</v>
      </c>
      <c r="O332" t="str">
        <f t="shared" si="17"/>
        <v>No</v>
      </c>
    </row>
    <row r="333" spans="1:15" x14ac:dyDescent="0.3">
      <c r="A333" s="5" t="s">
        <v>440</v>
      </c>
      <c r="B333" s="6">
        <v>45480</v>
      </c>
      <c r="C333" s="5" t="s">
        <v>424</v>
      </c>
      <c r="D333" s="5" t="s">
        <v>14</v>
      </c>
      <c r="E333" s="5" t="s">
        <v>112</v>
      </c>
      <c r="F333" s="5" t="s">
        <v>135</v>
      </c>
      <c r="G333" s="5" t="s">
        <v>136</v>
      </c>
      <c r="H333" s="5" t="s">
        <v>25</v>
      </c>
      <c r="I333" s="14">
        <v>9322.1200000000008</v>
      </c>
      <c r="J333" s="7">
        <v>8000</v>
      </c>
      <c r="K333" s="5" t="s">
        <v>38</v>
      </c>
      <c r="L333" s="5" t="s">
        <v>20</v>
      </c>
      <c r="M333" s="17">
        <f t="shared" si="15"/>
        <v>1322.1200000000008</v>
      </c>
      <c r="N333" s="15">
        <f t="shared" si="16"/>
        <v>-9322.1200000000008</v>
      </c>
      <c r="O333" t="str">
        <f t="shared" si="17"/>
        <v>Yes</v>
      </c>
    </row>
    <row r="334" spans="1:15" x14ac:dyDescent="0.3">
      <c r="A334" s="2" t="s">
        <v>441</v>
      </c>
      <c r="B334" s="3">
        <v>45480</v>
      </c>
      <c r="C334" s="2" t="s">
        <v>424</v>
      </c>
      <c r="D334" s="2" t="s">
        <v>14</v>
      </c>
      <c r="E334" s="2" t="s">
        <v>22</v>
      </c>
      <c r="F334" s="2" t="s">
        <v>23</v>
      </c>
      <c r="G334" s="2" t="s">
        <v>24</v>
      </c>
      <c r="H334" s="2" t="s">
        <v>37</v>
      </c>
      <c r="I334" s="12">
        <v>1509.65</v>
      </c>
      <c r="J334" s="4">
        <v>2500</v>
      </c>
      <c r="K334" s="2" t="s">
        <v>19</v>
      </c>
      <c r="L334" s="2" t="s">
        <v>27</v>
      </c>
      <c r="M334" s="17">
        <f t="shared" si="15"/>
        <v>-990.34999999999991</v>
      </c>
      <c r="N334" s="15">
        <f t="shared" si="16"/>
        <v>-1509.65</v>
      </c>
      <c r="O334" t="str">
        <f t="shared" si="17"/>
        <v>No</v>
      </c>
    </row>
    <row r="335" spans="1:15" x14ac:dyDescent="0.3">
      <c r="A335" s="5" t="s">
        <v>442</v>
      </c>
      <c r="B335" s="6">
        <v>45480</v>
      </c>
      <c r="C335" s="5" t="s">
        <v>424</v>
      </c>
      <c r="D335" s="5" t="s">
        <v>14</v>
      </c>
      <c r="E335" s="5" t="s">
        <v>29</v>
      </c>
      <c r="F335" s="5" t="s">
        <v>80</v>
      </c>
      <c r="G335" s="5" t="s">
        <v>81</v>
      </c>
      <c r="H335" s="5" t="s">
        <v>37</v>
      </c>
      <c r="I335" s="14">
        <v>2015.32</v>
      </c>
      <c r="J335" s="7">
        <v>3000</v>
      </c>
      <c r="K335" s="5" t="s">
        <v>26</v>
      </c>
      <c r="L335" s="5" t="s">
        <v>20</v>
      </c>
      <c r="M335" s="17">
        <f t="shared" si="15"/>
        <v>-984.68000000000006</v>
      </c>
      <c r="N335" s="15">
        <f t="shared" si="16"/>
        <v>-2015.32</v>
      </c>
      <c r="O335" t="str">
        <f t="shared" si="17"/>
        <v>No</v>
      </c>
    </row>
    <row r="336" spans="1:15" x14ac:dyDescent="0.3">
      <c r="A336" s="2" t="s">
        <v>443</v>
      </c>
      <c r="B336" s="3">
        <v>45482</v>
      </c>
      <c r="C336" s="2" t="s">
        <v>424</v>
      </c>
      <c r="D336" s="2" t="s">
        <v>54</v>
      </c>
      <c r="E336" s="2" t="s">
        <v>55</v>
      </c>
      <c r="F336" s="2" t="s">
        <v>56</v>
      </c>
      <c r="G336" s="2" t="s">
        <v>57</v>
      </c>
      <c r="H336" s="2" t="s">
        <v>25</v>
      </c>
      <c r="I336" s="12">
        <v>53705.55</v>
      </c>
      <c r="J336" s="4">
        <v>0</v>
      </c>
      <c r="K336" s="2" t="s">
        <v>47</v>
      </c>
      <c r="L336" s="2" t="s">
        <v>20</v>
      </c>
      <c r="M336" s="17" t="str">
        <f t="shared" si="15"/>
        <v>0</v>
      </c>
      <c r="N336" s="15">
        <f t="shared" si="16"/>
        <v>53705.55</v>
      </c>
      <c r="O336" t="str">
        <f t="shared" si="17"/>
        <v>Yes</v>
      </c>
    </row>
    <row r="337" spans="1:15" x14ac:dyDescent="0.3">
      <c r="A337" s="5" t="s">
        <v>444</v>
      </c>
      <c r="B337" s="6">
        <v>45482</v>
      </c>
      <c r="C337" s="5" t="s">
        <v>424</v>
      </c>
      <c r="D337" s="5" t="s">
        <v>14</v>
      </c>
      <c r="E337" s="5" t="s">
        <v>40</v>
      </c>
      <c r="F337" s="5" t="s">
        <v>97</v>
      </c>
      <c r="G337" s="5" t="s">
        <v>98</v>
      </c>
      <c r="H337" s="5" t="s">
        <v>18</v>
      </c>
      <c r="I337" s="14">
        <v>4415.47</v>
      </c>
      <c r="J337" s="7">
        <v>6000</v>
      </c>
      <c r="K337" s="5" t="s">
        <v>26</v>
      </c>
      <c r="L337" s="5" t="s">
        <v>20</v>
      </c>
      <c r="M337" s="17">
        <f t="shared" si="15"/>
        <v>-1584.5299999999997</v>
      </c>
      <c r="N337" s="15">
        <f t="shared" si="16"/>
        <v>-4415.47</v>
      </c>
      <c r="O337" t="str">
        <f t="shared" si="17"/>
        <v>No</v>
      </c>
    </row>
    <row r="338" spans="1:15" x14ac:dyDescent="0.3">
      <c r="A338" s="2" t="s">
        <v>445</v>
      </c>
      <c r="B338" s="3">
        <v>45483</v>
      </c>
      <c r="C338" s="2" t="s">
        <v>424</v>
      </c>
      <c r="D338" s="2" t="s">
        <v>54</v>
      </c>
      <c r="E338" s="2" t="s">
        <v>55</v>
      </c>
      <c r="F338" s="2" t="s">
        <v>56</v>
      </c>
      <c r="G338" s="2" t="s">
        <v>57</v>
      </c>
      <c r="H338" s="2" t="s">
        <v>18</v>
      </c>
      <c r="I338" s="12">
        <v>51164.23</v>
      </c>
      <c r="J338" s="4">
        <v>0</v>
      </c>
      <c r="K338" s="2" t="s">
        <v>26</v>
      </c>
      <c r="L338" s="2" t="s">
        <v>20</v>
      </c>
      <c r="M338" s="17" t="str">
        <f t="shared" si="15"/>
        <v>0</v>
      </c>
      <c r="N338" s="15">
        <f t="shared" si="16"/>
        <v>51164.23</v>
      </c>
      <c r="O338" t="str">
        <f t="shared" si="17"/>
        <v>Yes</v>
      </c>
    </row>
    <row r="339" spans="1:15" x14ac:dyDescent="0.3">
      <c r="A339" s="5" t="s">
        <v>446</v>
      </c>
      <c r="B339" s="6">
        <v>45484</v>
      </c>
      <c r="C339" s="5" t="s">
        <v>424</v>
      </c>
      <c r="D339" s="5" t="s">
        <v>14</v>
      </c>
      <c r="E339" s="5" t="s">
        <v>34</v>
      </c>
      <c r="F339" s="5" t="s">
        <v>157</v>
      </c>
      <c r="G339" s="5" t="s">
        <v>158</v>
      </c>
      <c r="H339" s="5" t="s">
        <v>52</v>
      </c>
      <c r="I339" s="14">
        <v>2937.25</v>
      </c>
      <c r="J339" s="7">
        <v>4000</v>
      </c>
      <c r="K339" s="5" t="s">
        <v>47</v>
      </c>
      <c r="L339" s="5" t="s">
        <v>27</v>
      </c>
      <c r="M339" s="17">
        <f t="shared" si="15"/>
        <v>-1062.75</v>
      </c>
      <c r="N339" s="15">
        <f t="shared" si="16"/>
        <v>-2937.25</v>
      </c>
      <c r="O339" t="str">
        <f t="shared" si="17"/>
        <v>No</v>
      </c>
    </row>
    <row r="340" spans="1:15" x14ac:dyDescent="0.3">
      <c r="A340" s="2" t="s">
        <v>447</v>
      </c>
      <c r="B340" s="3">
        <v>45484</v>
      </c>
      <c r="C340" s="2" t="s">
        <v>424</v>
      </c>
      <c r="D340" s="2" t="s">
        <v>14</v>
      </c>
      <c r="E340" s="2" t="s">
        <v>40</v>
      </c>
      <c r="F340" s="2" t="s">
        <v>97</v>
      </c>
      <c r="G340" s="2" t="s">
        <v>98</v>
      </c>
      <c r="H340" s="2" t="s">
        <v>37</v>
      </c>
      <c r="I340" s="12">
        <v>6703.3</v>
      </c>
      <c r="J340" s="4">
        <v>6000</v>
      </c>
      <c r="K340" s="2" t="s">
        <v>19</v>
      </c>
      <c r="L340" s="2" t="s">
        <v>27</v>
      </c>
      <c r="M340" s="17">
        <f t="shared" si="15"/>
        <v>703.30000000000018</v>
      </c>
      <c r="N340" s="15">
        <f t="shared" si="16"/>
        <v>-6703.3</v>
      </c>
      <c r="O340" t="str">
        <f t="shared" si="17"/>
        <v>Yes</v>
      </c>
    </row>
    <row r="341" spans="1:15" x14ac:dyDescent="0.3">
      <c r="A341" s="5" t="s">
        <v>448</v>
      </c>
      <c r="B341" s="6">
        <v>45484</v>
      </c>
      <c r="C341" s="5" t="s">
        <v>424</v>
      </c>
      <c r="D341" s="5" t="s">
        <v>14</v>
      </c>
      <c r="E341" s="5" t="s">
        <v>72</v>
      </c>
      <c r="F341" s="5" t="s">
        <v>132</v>
      </c>
      <c r="G341" s="5" t="s">
        <v>133</v>
      </c>
      <c r="H341" s="5" t="s">
        <v>37</v>
      </c>
      <c r="I341" s="14">
        <v>2492.35</v>
      </c>
      <c r="J341" s="7">
        <v>2000</v>
      </c>
      <c r="K341" s="5" t="s">
        <v>26</v>
      </c>
      <c r="L341" s="5" t="s">
        <v>27</v>
      </c>
      <c r="M341" s="17">
        <f t="shared" si="15"/>
        <v>492.34999999999991</v>
      </c>
      <c r="N341" s="15">
        <f t="shared" si="16"/>
        <v>-2492.35</v>
      </c>
      <c r="O341" t="str">
        <f t="shared" si="17"/>
        <v>Yes</v>
      </c>
    </row>
    <row r="342" spans="1:15" x14ac:dyDescent="0.3">
      <c r="A342" s="2" t="s">
        <v>449</v>
      </c>
      <c r="B342" s="3">
        <v>45486</v>
      </c>
      <c r="C342" s="2" t="s">
        <v>424</v>
      </c>
      <c r="D342" s="2" t="s">
        <v>54</v>
      </c>
      <c r="E342" s="2" t="s">
        <v>87</v>
      </c>
      <c r="F342" s="2" t="s">
        <v>88</v>
      </c>
      <c r="G342" s="2" t="s">
        <v>89</v>
      </c>
      <c r="H342" s="2" t="s">
        <v>37</v>
      </c>
      <c r="I342" s="12">
        <v>10536.69</v>
      </c>
      <c r="J342" s="4">
        <v>0</v>
      </c>
      <c r="K342" s="2" t="s">
        <v>38</v>
      </c>
      <c r="L342" s="2" t="s">
        <v>20</v>
      </c>
      <c r="M342" s="17" t="str">
        <f t="shared" si="15"/>
        <v>0</v>
      </c>
      <c r="N342" s="15">
        <f t="shared" si="16"/>
        <v>10536.69</v>
      </c>
      <c r="O342" t="str">
        <f t="shared" si="17"/>
        <v>Yes</v>
      </c>
    </row>
    <row r="343" spans="1:15" x14ac:dyDescent="0.3">
      <c r="A343" s="5" t="s">
        <v>450</v>
      </c>
      <c r="B343" s="6">
        <v>45487</v>
      </c>
      <c r="C343" s="5" t="s">
        <v>424</v>
      </c>
      <c r="D343" s="5" t="s">
        <v>14</v>
      </c>
      <c r="E343" s="5" t="s">
        <v>29</v>
      </c>
      <c r="F343" s="5" t="s">
        <v>80</v>
      </c>
      <c r="G343" s="5" t="s">
        <v>81</v>
      </c>
      <c r="H343" s="5" t="s">
        <v>52</v>
      </c>
      <c r="I343" s="14">
        <v>2934.41</v>
      </c>
      <c r="J343" s="7">
        <v>3000</v>
      </c>
      <c r="K343" s="5" t="s">
        <v>47</v>
      </c>
      <c r="L343" s="5" t="s">
        <v>20</v>
      </c>
      <c r="M343" s="17">
        <f t="shared" si="15"/>
        <v>-65.590000000000146</v>
      </c>
      <c r="N343" s="15">
        <f t="shared" si="16"/>
        <v>-2934.41</v>
      </c>
      <c r="O343" t="str">
        <f t="shared" si="17"/>
        <v>No</v>
      </c>
    </row>
    <row r="344" spans="1:15" x14ac:dyDescent="0.3">
      <c r="A344" s="2" t="s">
        <v>451</v>
      </c>
      <c r="B344" s="3">
        <v>45487</v>
      </c>
      <c r="C344" s="2" t="s">
        <v>424</v>
      </c>
      <c r="D344" s="2" t="s">
        <v>14</v>
      </c>
      <c r="E344" s="2" t="s">
        <v>40</v>
      </c>
      <c r="F344" s="2" t="s">
        <v>97</v>
      </c>
      <c r="G344" s="2" t="s">
        <v>98</v>
      </c>
      <c r="H344" s="2" t="s">
        <v>25</v>
      </c>
      <c r="I344" s="12">
        <v>5821.45</v>
      </c>
      <c r="J344" s="4">
        <v>6000</v>
      </c>
      <c r="K344" s="2" t="s">
        <v>26</v>
      </c>
      <c r="L344" s="2" t="s">
        <v>27</v>
      </c>
      <c r="M344" s="17">
        <f t="shared" si="15"/>
        <v>-178.55000000000018</v>
      </c>
      <c r="N344" s="15">
        <f t="shared" si="16"/>
        <v>-5821.45</v>
      </c>
      <c r="O344" t="str">
        <f t="shared" si="17"/>
        <v>No</v>
      </c>
    </row>
    <row r="345" spans="1:15" x14ac:dyDescent="0.3">
      <c r="A345" s="5" t="s">
        <v>452</v>
      </c>
      <c r="B345" s="6">
        <v>45487</v>
      </c>
      <c r="C345" s="5" t="s">
        <v>424</v>
      </c>
      <c r="D345" s="5" t="s">
        <v>14</v>
      </c>
      <c r="E345" s="5" t="s">
        <v>15</v>
      </c>
      <c r="F345" s="5" t="s">
        <v>16</v>
      </c>
      <c r="G345" s="5" t="s">
        <v>17</v>
      </c>
      <c r="H345" s="5" t="s">
        <v>37</v>
      </c>
      <c r="I345" s="14">
        <v>7018.17</v>
      </c>
      <c r="J345" s="7">
        <v>12000</v>
      </c>
      <c r="K345" s="5" t="s">
        <v>38</v>
      </c>
      <c r="L345" s="5" t="s">
        <v>20</v>
      </c>
      <c r="M345" s="17">
        <f t="shared" si="15"/>
        <v>-4981.83</v>
      </c>
      <c r="N345" s="15">
        <f t="shared" si="16"/>
        <v>-7018.17</v>
      </c>
      <c r="O345" t="str">
        <f t="shared" si="17"/>
        <v>No</v>
      </c>
    </row>
    <row r="346" spans="1:15" x14ac:dyDescent="0.3">
      <c r="A346" s="2" t="s">
        <v>453</v>
      </c>
      <c r="B346" s="3">
        <v>45489</v>
      </c>
      <c r="C346" s="2" t="s">
        <v>424</v>
      </c>
      <c r="D346" s="2" t="s">
        <v>14</v>
      </c>
      <c r="E346" s="2" t="s">
        <v>40</v>
      </c>
      <c r="F346" s="2" t="s">
        <v>97</v>
      </c>
      <c r="G346" s="2" t="s">
        <v>98</v>
      </c>
      <c r="H346" s="2" t="s">
        <v>37</v>
      </c>
      <c r="I346" s="12">
        <v>6727.85</v>
      </c>
      <c r="J346" s="4">
        <v>6000</v>
      </c>
      <c r="K346" s="2" t="s">
        <v>38</v>
      </c>
      <c r="L346" s="2" t="s">
        <v>27</v>
      </c>
      <c r="M346" s="17">
        <f t="shared" si="15"/>
        <v>727.85000000000036</v>
      </c>
      <c r="N346" s="15">
        <f t="shared" si="16"/>
        <v>-6727.85</v>
      </c>
      <c r="O346" t="str">
        <f t="shared" si="17"/>
        <v>Yes</v>
      </c>
    </row>
    <row r="347" spans="1:15" x14ac:dyDescent="0.3">
      <c r="A347" s="5" t="s">
        <v>454</v>
      </c>
      <c r="B347" s="6">
        <v>45490</v>
      </c>
      <c r="C347" s="5" t="s">
        <v>424</v>
      </c>
      <c r="D347" s="5" t="s">
        <v>14</v>
      </c>
      <c r="E347" s="5" t="s">
        <v>22</v>
      </c>
      <c r="F347" s="5" t="s">
        <v>66</v>
      </c>
      <c r="G347" s="5" t="s">
        <v>67</v>
      </c>
      <c r="H347" s="5" t="s">
        <v>52</v>
      </c>
      <c r="I347" s="14">
        <v>2642.22</v>
      </c>
      <c r="J347" s="7">
        <v>2500</v>
      </c>
      <c r="K347" s="5" t="s">
        <v>47</v>
      </c>
      <c r="L347" s="5" t="s">
        <v>20</v>
      </c>
      <c r="M347" s="17">
        <f t="shared" si="15"/>
        <v>142.2199999999998</v>
      </c>
      <c r="N347" s="15">
        <f t="shared" si="16"/>
        <v>-2642.22</v>
      </c>
      <c r="O347" t="str">
        <f t="shared" si="17"/>
        <v>Yes</v>
      </c>
    </row>
    <row r="348" spans="1:15" x14ac:dyDescent="0.3">
      <c r="A348" s="2" t="s">
        <v>455</v>
      </c>
      <c r="B348" s="3">
        <v>45490</v>
      </c>
      <c r="C348" s="2" t="s">
        <v>424</v>
      </c>
      <c r="D348" s="2" t="s">
        <v>14</v>
      </c>
      <c r="E348" s="2" t="s">
        <v>44</v>
      </c>
      <c r="F348" s="2" t="s">
        <v>45</v>
      </c>
      <c r="G348" s="2" t="s">
        <v>46</v>
      </c>
      <c r="H348" s="2" t="s">
        <v>32</v>
      </c>
      <c r="I348" s="12">
        <v>11736.96</v>
      </c>
      <c r="J348" s="4">
        <v>15000</v>
      </c>
      <c r="K348" s="2" t="s">
        <v>26</v>
      </c>
      <c r="L348" s="2" t="s">
        <v>20</v>
      </c>
      <c r="M348" s="17">
        <f t="shared" si="15"/>
        <v>-3263.0400000000009</v>
      </c>
      <c r="N348" s="15">
        <f t="shared" si="16"/>
        <v>-11736.96</v>
      </c>
      <c r="O348" t="str">
        <f t="shared" si="17"/>
        <v>No</v>
      </c>
    </row>
    <row r="349" spans="1:15" x14ac:dyDescent="0.3">
      <c r="A349" s="5" t="s">
        <v>456</v>
      </c>
      <c r="B349" s="6">
        <v>45490</v>
      </c>
      <c r="C349" s="5" t="s">
        <v>424</v>
      </c>
      <c r="D349" s="5" t="s">
        <v>14</v>
      </c>
      <c r="E349" s="5" t="s">
        <v>49</v>
      </c>
      <c r="F349" s="5" t="s">
        <v>50</v>
      </c>
      <c r="G349" s="5" t="s">
        <v>51</v>
      </c>
      <c r="H349" s="5" t="s">
        <v>18</v>
      </c>
      <c r="I349" s="14">
        <v>3044.37</v>
      </c>
      <c r="J349" s="7">
        <v>3500</v>
      </c>
      <c r="K349" s="5" t="s">
        <v>47</v>
      </c>
      <c r="L349" s="5" t="s">
        <v>27</v>
      </c>
      <c r="M349" s="17">
        <f t="shared" si="15"/>
        <v>-455.63000000000011</v>
      </c>
      <c r="N349" s="15">
        <f t="shared" si="16"/>
        <v>-3044.37</v>
      </c>
      <c r="O349" t="str">
        <f t="shared" si="17"/>
        <v>No</v>
      </c>
    </row>
    <row r="350" spans="1:15" x14ac:dyDescent="0.3">
      <c r="A350" s="2" t="s">
        <v>457</v>
      </c>
      <c r="B350" s="3">
        <v>45491</v>
      </c>
      <c r="C350" s="2" t="s">
        <v>424</v>
      </c>
      <c r="D350" s="2" t="s">
        <v>14</v>
      </c>
      <c r="E350" s="2" t="s">
        <v>112</v>
      </c>
      <c r="F350" s="2" t="s">
        <v>113</v>
      </c>
      <c r="G350" s="2" t="s">
        <v>114</v>
      </c>
      <c r="H350" s="2" t="s">
        <v>52</v>
      </c>
      <c r="I350" s="12">
        <v>9082.3799999999992</v>
      </c>
      <c r="J350" s="4">
        <v>8000</v>
      </c>
      <c r="K350" s="2" t="s">
        <v>26</v>
      </c>
      <c r="L350" s="2" t="s">
        <v>20</v>
      </c>
      <c r="M350" s="17">
        <f t="shared" si="15"/>
        <v>1082.3799999999992</v>
      </c>
      <c r="N350" s="15">
        <f t="shared" si="16"/>
        <v>-9082.3799999999992</v>
      </c>
      <c r="O350" t="str">
        <f t="shared" si="17"/>
        <v>Yes</v>
      </c>
    </row>
    <row r="351" spans="1:15" x14ac:dyDescent="0.3">
      <c r="A351" s="5" t="s">
        <v>458</v>
      </c>
      <c r="B351" s="6">
        <v>45491</v>
      </c>
      <c r="C351" s="5" t="s">
        <v>424</v>
      </c>
      <c r="D351" s="5" t="s">
        <v>14</v>
      </c>
      <c r="E351" s="5" t="s">
        <v>29</v>
      </c>
      <c r="F351" s="5" t="s">
        <v>238</v>
      </c>
      <c r="G351" s="5" t="s">
        <v>239</v>
      </c>
      <c r="H351" s="5" t="s">
        <v>37</v>
      </c>
      <c r="I351" s="14">
        <v>1977.16</v>
      </c>
      <c r="J351" s="7">
        <v>3000</v>
      </c>
      <c r="K351" s="5" t="s">
        <v>47</v>
      </c>
      <c r="L351" s="5" t="s">
        <v>20</v>
      </c>
      <c r="M351" s="17">
        <f t="shared" si="15"/>
        <v>-1022.8399999999999</v>
      </c>
      <c r="N351" s="15">
        <f t="shared" si="16"/>
        <v>-1977.16</v>
      </c>
      <c r="O351" t="str">
        <f t="shared" si="17"/>
        <v>No</v>
      </c>
    </row>
    <row r="352" spans="1:15" x14ac:dyDescent="0.3">
      <c r="A352" s="2" t="s">
        <v>459</v>
      </c>
      <c r="B352" s="3">
        <v>45491</v>
      </c>
      <c r="C352" s="2" t="s">
        <v>424</v>
      </c>
      <c r="D352" s="2" t="s">
        <v>14</v>
      </c>
      <c r="E352" s="2" t="s">
        <v>104</v>
      </c>
      <c r="F352" s="2" t="s">
        <v>184</v>
      </c>
      <c r="G352" s="2" t="s">
        <v>185</v>
      </c>
      <c r="H352" s="2" t="s">
        <v>37</v>
      </c>
      <c r="I352" s="12">
        <v>2420.2600000000002</v>
      </c>
      <c r="J352" s="4">
        <v>2000</v>
      </c>
      <c r="K352" s="2" t="s">
        <v>38</v>
      </c>
      <c r="L352" s="2" t="s">
        <v>27</v>
      </c>
      <c r="M352" s="17">
        <f t="shared" si="15"/>
        <v>420.26000000000022</v>
      </c>
      <c r="N352" s="15">
        <f t="shared" si="16"/>
        <v>-2420.2600000000002</v>
      </c>
      <c r="O352" t="str">
        <f t="shared" si="17"/>
        <v>Yes</v>
      </c>
    </row>
    <row r="353" spans="1:15" x14ac:dyDescent="0.3">
      <c r="A353" s="5" t="s">
        <v>460</v>
      </c>
      <c r="B353" s="6">
        <v>45492</v>
      </c>
      <c r="C353" s="5" t="s">
        <v>424</v>
      </c>
      <c r="D353" s="5" t="s">
        <v>14</v>
      </c>
      <c r="E353" s="5" t="s">
        <v>104</v>
      </c>
      <c r="F353" s="5" t="s">
        <v>105</v>
      </c>
      <c r="G353" s="5" t="s">
        <v>106</v>
      </c>
      <c r="H353" s="5" t="s">
        <v>18</v>
      </c>
      <c r="I353" s="14">
        <v>2170.0500000000002</v>
      </c>
      <c r="J353" s="7">
        <v>2000</v>
      </c>
      <c r="K353" s="5" t="s">
        <v>26</v>
      </c>
      <c r="L353" s="5" t="s">
        <v>27</v>
      </c>
      <c r="M353" s="17">
        <f t="shared" si="15"/>
        <v>170.05000000000018</v>
      </c>
      <c r="N353" s="15">
        <f t="shared" si="16"/>
        <v>-2170.0500000000002</v>
      </c>
      <c r="O353" t="str">
        <f t="shared" si="17"/>
        <v>Yes</v>
      </c>
    </row>
    <row r="354" spans="1:15" x14ac:dyDescent="0.3">
      <c r="A354" s="2" t="s">
        <v>461</v>
      </c>
      <c r="B354" s="3">
        <v>45493</v>
      </c>
      <c r="C354" s="2" t="s">
        <v>424</v>
      </c>
      <c r="D354" s="2" t="s">
        <v>14</v>
      </c>
      <c r="E354" s="2" t="s">
        <v>49</v>
      </c>
      <c r="F354" s="2" t="s">
        <v>180</v>
      </c>
      <c r="G354" s="2" t="s">
        <v>181</v>
      </c>
      <c r="H354" s="2" t="s">
        <v>25</v>
      </c>
      <c r="I354" s="12">
        <v>3037.56</v>
      </c>
      <c r="J354" s="4">
        <v>3500</v>
      </c>
      <c r="K354" s="2" t="s">
        <v>47</v>
      </c>
      <c r="L354" s="2" t="s">
        <v>27</v>
      </c>
      <c r="M354" s="17">
        <f t="shared" si="15"/>
        <v>-462.44000000000005</v>
      </c>
      <c r="N354" s="15">
        <f t="shared" si="16"/>
        <v>-3037.56</v>
      </c>
      <c r="O354" t="str">
        <f t="shared" si="17"/>
        <v>No</v>
      </c>
    </row>
    <row r="355" spans="1:15" x14ac:dyDescent="0.3">
      <c r="A355" s="5" t="s">
        <v>462</v>
      </c>
      <c r="B355" s="6">
        <v>45493</v>
      </c>
      <c r="C355" s="5" t="s">
        <v>424</v>
      </c>
      <c r="D355" s="5" t="s">
        <v>14</v>
      </c>
      <c r="E355" s="5" t="s">
        <v>49</v>
      </c>
      <c r="F355" s="5" t="s">
        <v>77</v>
      </c>
      <c r="G355" s="5" t="s">
        <v>78</v>
      </c>
      <c r="H355" s="5" t="s">
        <v>25</v>
      </c>
      <c r="I355" s="14">
        <v>2298.4299999999998</v>
      </c>
      <c r="J355" s="7">
        <v>3500</v>
      </c>
      <c r="K355" s="5" t="s">
        <v>38</v>
      </c>
      <c r="L355" s="5" t="s">
        <v>27</v>
      </c>
      <c r="M355" s="17">
        <f t="shared" si="15"/>
        <v>-1201.5700000000002</v>
      </c>
      <c r="N355" s="15">
        <f t="shared" si="16"/>
        <v>-2298.4299999999998</v>
      </c>
      <c r="O355" t="str">
        <f t="shared" si="17"/>
        <v>No</v>
      </c>
    </row>
    <row r="356" spans="1:15" x14ac:dyDescent="0.3">
      <c r="A356" s="2" t="s">
        <v>463</v>
      </c>
      <c r="B356" s="3">
        <v>45493</v>
      </c>
      <c r="C356" s="2" t="s">
        <v>424</v>
      </c>
      <c r="D356" s="2" t="s">
        <v>14</v>
      </c>
      <c r="E356" s="2" t="s">
        <v>44</v>
      </c>
      <c r="F356" s="2" t="s">
        <v>45</v>
      </c>
      <c r="G356" s="2" t="s">
        <v>46</v>
      </c>
      <c r="H356" s="2" t="s">
        <v>18</v>
      </c>
      <c r="I356" s="12">
        <v>14887.8</v>
      </c>
      <c r="J356" s="4">
        <v>15000</v>
      </c>
      <c r="K356" s="2" t="s">
        <v>38</v>
      </c>
      <c r="L356" s="2" t="s">
        <v>20</v>
      </c>
      <c r="M356" s="17">
        <f t="shared" si="15"/>
        <v>-112.20000000000073</v>
      </c>
      <c r="N356" s="15">
        <f t="shared" si="16"/>
        <v>-14887.8</v>
      </c>
      <c r="O356" t="str">
        <f t="shared" si="17"/>
        <v>No</v>
      </c>
    </row>
    <row r="357" spans="1:15" x14ac:dyDescent="0.3">
      <c r="A357" s="5" t="s">
        <v>464</v>
      </c>
      <c r="B357" s="6">
        <v>45494</v>
      </c>
      <c r="C357" s="5" t="s">
        <v>424</v>
      </c>
      <c r="D357" s="5" t="s">
        <v>54</v>
      </c>
      <c r="E357" s="5" t="s">
        <v>87</v>
      </c>
      <c r="F357" s="5" t="s">
        <v>176</v>
      </c>
      <c r="G357" s="5" t="s">
        <v>177</v>
      </c>
      <c r="H357" s="5" t="s">
        <v>37</v>
      </c>
      <c r="I357" s="14">
        <v>8499.1</v>
      </c>
      <c r="J357" s="7">
        <v>0</v>
      </c>
      <c r="K357" s="5" t="s">
        <v>38</v>
      </c>
      <c r="L357" s="5" t="s">
        <v>27</v>
      </c>
      <c r="M357" s="17" t="str">
        <f t="shared" si="15"/>
        <v>0</v>
      </c>
      <c r="N357" s="15">
        <f t="shared" si="16"/>
        <v>8499.1</v>
      </c>
      <c r="O357" t="str">
        <f t="shared" si="17"/>
        <v>Yes</v>
      </c>
    </row>
    <row r="358" spans="1:15" x14ac:dyDescent="0.3">
      <c r="A358" s="2" t="s">
        <v>465</v>
      </c>
      <c r="B358" s="3">
        <v>45495</v>
      </c>
      <c r="C358" s="2" t="s">
        <v>424</v>
      </c>
      <c r="D358" s="2" t="s">
        <v>14</v>
      </c>
      <c r="E358" s="2" t="s">
        <v>40</v>
      </c>
      <c r="F358" s="2" t="s">
        <v>41</v>
      </c>
      <c r="G358" s="2" t="s">
        <v>42</v>
      </c>
      <c r="H358" s="2" t="s">
        <v>37</v>
      </c>
      <c r="I358" s="12">
        <v>7616.14</v>
      </c>
      <c r="J358" s="4">
        <v>6000</v>
      </c>
      <c r="K358" s="2" t="s">
        <v>38</v>
      </c>
      <c r="L358" s="2" t="s">
        <v>27</v>
      </c>
      <c r="M358" s="17">
        <f t="shared" si="15"/>
        <v>1616.1400000000003</v>
      </c>
      <c r="N358" s="15">
        <f t="shared" si="16"/>
        <v>-7616.14</v>
      </c>
      <c r="O358" t="str">
        <f t="shared" si="17"/>
        <v>Yes</v>
      </c>
    </row>
    <row r="359" spans="1:15" x14ac:dyDescent="0.3">
      <c r="A359" s="5" t="s">
        <v>466</v>
      </c>
      <c r="B359" s="6">
        <v>45496</v>
      </c>
      <c r="C359" s="5" t="s">
        <v>424</v>
      </c>
      <c r="D359" s="5" t="s">
        <v>54</v>
      </c>
      <c r="E359" s="5" t="s">
        <v>209</v>
      </c>
      <c r="F359" s="5" t="s">
        <v>210</v>
      </c>
      <c r="G359" s="5" t="s">
        <v>211</v>
      </c>
      <c r="H359" s="5" t="s">
        <v>18</v>
      </c>
      <c r="I359" s="14">
        <v>3466.55</v>
      </c>
      <c r="J359" s="7">
        <v>0</v>
      </c>
      <c r="K359" s="5" t="s">
        <v>47</v>
      </c>
      <c r="L359" s="5" t="s">
        <v>27</v>
      </c>
      <c r="M359" s="17" t="str">
        <f t="shared" si="15"/>
        <v>0</v>
      </c>
      <c r="N359" s="15">
        <f t="shared" si="16"/>
        <v>3466.55</v>
      </c>
      <c r="O359" t="str">
        <f t="shared" si="17"/>
        <v>Yes</v>
      </c>
    </row>
    <row r="360" spans="1:15" x14ac:dyDescent="0.3">
      <c r="A360" s="2" t="s">
        <v>467</v>
      </c>
      <c r="B360" s="3">
        <v>45496</v>
      </c>
      <c r="C360" s="2" t="s">
        <v>424</v>
      </c>
      <c r="D360" s="2" t="s">
        <v>14</v>
      </c>
      <c r="E360" s="2" t="s">
        <v>40</v>
      </c>
      <c r="F360" s="2" t="s">
        <v>41</v>
      </c>
      <c r="G360" s="2" t="s">
        <v>42</v>
      </c>
      <c r="H360" s="2" t="s">
        <v>32</v>
      </c>
      <c r="I360" s="12">
        <v>4104.72</v>
      </c>
      <c r="J360" s="4">
        <v>6000</v>
      </c>
      <c r="K360" s="2" t="s">
        <v>47</v>
      </c>
      <c r="L360" s="2" t="s">
        <v>27</v>
      </c>
      <c r="M360" s="17">
        <f t="shared" si="15"/>
        <v>-1895.2799999999997</v>
      </c>
      <c r="N360" s="15">
        <f t="shared" si="16"/>
        <v>-4104.72</v>
      </c>
      <c r="O360" t="str">
        <f t="shared" si="17"/>
        <v>No</v>
      </c>
    </row>
    <row r="361" spans="1:15" x14ac:dyDescent="0.3">
      <c r="A361" s="5" t="s">
        <v>468</v>
      </c>
      <c r="B361" s="6">
        <v>45498</v>
      </c>
      <c r="C361" s="5" t="s">
        <v>424</v>
      </c>
      <c r="D361" s="5" t="s">
        <v>54</v>
      </c>
      <c r="E361" s="5" t="s">
        <v>55</v>
      </c>
      <c r="F361" s="5" t="s">
        <v>56</v>
      </c>
      <c r="G361" s="5" t="s">
        <v>57</v>
      </c>
      <c r="H361" s="5" t="s">
        <v>32</v>
      </c>
      <c r="I361" s="14">
        <v>40076.080000000002</v>
      </c>
      <c r="J361" s="7">
        <v>0</v>
      </c>
      <c r="K361" s="5" t="s">
        <v>38</v>
      </c>
      <c r="L361" s="5" t="s">
        <v>20</v>
      </c>
      <c r="M361" s="17" t="str">
        <f t="shared" si="15"/>
        <v>0</v>
      </c>
      <c r="N361" s="15">
        <f t="shared" si="16"/>
        <v>40076.080000000002</v>
      </c>
      <c r="O361" t="str">
        <f t="shared" si="17"/>
        <v>Yes</v>
      </c>
    </row>
    <row r="362" spans="1:15" x14ac:dyDescent="0.3">
      <c r="A362" s="2" t="s">
        <v>469</v>
      </c>
      <c r="B362" s="3">
        <v>45498</v>
      </c>
      <c r="C362" s="2" t="s">
        <v>424</v>
      </c>
      <c r="D362" s="2" t="s">
        <v>14</v>
      </c>
      <c r="E362" s="2" t="s">
        <v>44</v>
      </c>
      <c r="F362" s="2" t="s">
        <v>45</v>
      </c>
      <c r="G362" s="2" t="s">
        <v>46</v>
      </c>
      <c r="H362" s="2" t="s">
        <v>37</v>
      </c>
      <c r="I362" s="12">
        <v>13052.11</v>
      </c>
      <c r="J362" s="4">
        <v>15000</v>
      </c>
      <c r="K362" s="2" t="s">
        <v>26</v>
      </c>
      <c r="L362" s="2" t="s">
        <v>20</v>
      </c>
      <c r="M362" s="17">
        <f t="shared" si="15"/>
        <v>-1947.8899999999994</v>
      </c>
      <c r="N362" s="15">
        <f t="shared" si="16"/>
        <v>-13052.11</v>
      </c>
      <c r="O362" t="str">
        <f t="shared" si="17"/>
        <v>No</v>
      </c>
    </row>
    <row r="363" spans="1:15" x14ac:dyDescent="0.3">
      <c r="A363" s="5" t="s">
        <v>470</v>
      </c>
      <c r="B363" s="6">
        <v>45498</v>
      </c>
      <c r="C363" s="5" t="s">
        <v>424</v>
      </c>
      <c r="D363" s="5" t="s">
        <v>14</v>
      </c>
      <c r="E363" s="5" t="s">
        <v>34</v>
      </c>
      <c r="F363" s="5" t="s">
        <v>157</v>
      </c>
      <c r="G363" s="5" t="s">
        <v>158</v>
      </c>
      <c r="H363" s="5" t="s">
        <v>18</v>
      </c>
      <c r="I363" s="14">
        <v>4267.4399999999996</v>
      </c>
      <c r="J363" s="7">
        <v>4000</v>
      </c>
      <c r="K363" s="5" t="s">
        <v>26</v>
      </c>
      <c r="L363" s="5" t="s">
        <v>27</v>
      </c>
      <c r="M363" s="17">
        <f t="shared" si="15"/>
        <v>267.4399999999996</v>
      </c>
      <c r="N363" s="15">
        <f t="shared" si="16"/>
        <v>-4267.4399999999996</v>
      </c>
      <c r="O363" t="str">
        <f t="shared" si="17"/>
        <v>Yes</v>
      </c>
    </row>
    <row r="364" spans="1:15" x14ac:dyDescent="0.3">
      <c r="A364" s="2" t="s">
        <v>471</v>
      </c>
      <c r="B364" s="3">
        <v>45499</v>
      </c>
      <c r="C364" s="2" t="s">
        <v>424</v>
      </c>
      <c r="D364" s="2" t="s">
        <v>14</v>
      </c>
      <c r="E364" s="2" t="s">
        <v>40</v>
      </c>
      <c r="F364" s="2" t="s">
        <v>41</v>
      </c>
      <c r="G364" s="2" t="s">
        <v>42</v>
      </c>
      <c r="H364" s="2" t="s">
        <v>25</v>
      </c>
      <c r="I364" s="12">
        <v>6904.62</v>
      </c>
      <c r="J364" s="4">
        <v>6000</v>
      </c>
      <c r="K364" s="2" t="s">
        <v>47</v>
      </c>
      <c r="L364" s="2" t="s">
        <v>27</v>
      </c>
      <c r="M364" s="17">
        <f t="shared" si="15"/>
        <v>904.61999999999989</v>
      </c>
      <c r="N364" s="15">
        <f t="shared" si="16"/>
        <v>-6904.62</v>
      </c>
      <c r="O364" t="str">
        <f t="shared" si="17"/>
        <v>Yes</v>
      </c>
    </row>
    <row r="365" spans="1:15" x14ac:dyDescent="0.3">
      <c r="A365" s="5" t="s">
        <v>472</v>
      </c>
      <c r="B365" s="6">
        <v>45499</v>
      </c>
      <c r="C365" s="5" t="s">
        <v>424</v>
      </c>
      <c r="D365" s="5" t="s">
        <v>54</v>
      </c>
      <c r="E365" s="5" t="s">
        <v>55</v>
      </c>
      <c r="F365" s="5" t="s">
        <v>56</v>
      </c>
      <c r="G365" s="5" t="s">
        <v>57</v>
      </c>
      <c r="H365" s="5" t="s">
        <v>37</v>
      </c>
      <c r="I365" s="14">
        <v>40356.18</v>
      </c>
      <c r="J365" s="7">
        <v>0</v>
      </c>
      <c r="K365" s="5" t="s">
        <v>47</v>
      </c>
      <c r="L365" s="5" t="s">
        <v>20</v>
      </c>
      <c r="M365" s="17" t="str">
        <f t="shared" si="15"/>
        <v>0</v>
      </c>
      <c r="N365" s="15">
        <f t="shared" si="16"/>
        <v>40356.18</v>
      </c>
      <c r="O365" t="str">
        <f t="shared" si="17"/>
        <v>Yes</v>
      </c>
    </row>
    <row r="366" spans="1:15" x14ac:dyDescent="0.3">
      <c r="A366" s="2" t="s">
        <v>473</v>
      </c>
      <c r="B366" s="3">
        <v>45499</v>
      </c>
      <c r="C366" s="2" t="s">
        <v>424</v>
      </c>
      <c r="D366" s="2" t="s">
        <v>14</v>
      </c>
      <c r="E366" s="2" t="s">
        <v>29</v>
      </c>
      <c r="F366" s="2" t="s">
        <v>80</v>
      </c>
      <c r="G366" s="2" t="s">
        <v>81</v>
      </c>
      <c r="H366" s="2" t="s">
        <v>37</v>
      </c>
      <c r="I366" s="12">
        <v>2984.3</v>
      </c>
      <c r="J366" s="4">
        <v>3000</v>
      </c>
      <c r="K366" s="2" t="s">
        <v>26</v>
      </c>
      <c r="L366" s="2" t="s">
        <v>20</v>
      </c>
      <c r="M366" s="17">
        <f t="shared" si="15"/>
        <v>-15.699999999999818</v>
      </c>
      <c r="N366" s="15">
        <f t="shared" si="16"/>
        <v>-2984.3</v>
      </c>
      <c r="O366" t="str">
        <f t="shared" si="17"/>
        <v>No</v>
      </c>
    </row>
    <row r="367" spans="1:15" x14ac:dyDescent="0.3">
      <c r="A367" s="5" t="s">
        <v>474</v>
      </c>
      <c r="B367" s="6">
        <v>45499</v>
      </c>
      <c r="C367" s="5" t="s">
        <v>424</v>
      </c>
      <c r="D367" s="5" t="s">
        <v>54</v>
      </c>
      <c r="E367" s="5" t="s">
        <v>55</v>
      </c>
      <c r="F367" s="5" t="s">
        <v>56</v>
      </c>
      <c r="G367" s="5" t="s">
        <v>57</v>
      </c>
      <c r="H367" s="5" t="s">
        <v>25</v>
      </c>
      <c r="I367" s="14">
        <v>54551.16</v>
      </c>
      <c r="J367" s="7">
        <v>0</v>
      </c>
      <c r="K367" s="5" t="s">
        <v>47</v>
      </c>
      <c r="L367" s="5" t="s">
        <v>20</v>
      </c>
      <c r="M367" s="17" t="str">
        <f t="shared" si="15"/>
        <v>0</v>
      </c>
      <c r="N367" s="15">
        <f t="shared" si="16"/>
        <v>54551.16</v>
      </c>
      <c r="O367" t="str">
        <f t="shared" si="17"/>
        <v>Yes</v>
      </c>
    </row>
    <row r="368" spans="1:15" x14ac:dyDescent="0.3">
      <c r="A368" s="2" t="s">
        <v>475</v>
      </c>
      <c r="B368" s="3">
        <v>45499</v>
      </c>
      <c r="C368" s="2" t="s">
        <v>424</v>
      </c>
      <c r="D368" s="2" t="s">
        <v>14</v>
      </c>
      <c r="E368" s="2" t="s">
        <v>72</v>
      </c>
      <c r="F368" s="2" t="s">
        <v>73</v>
      </c>
      <c r="G368" s="2" t="s">
        <v>74</v>
      </c>
      <c r="H368" s="2" t="s">
        <v>18</v>
      </c>
      <c r="I368" s="12">
        <v>2502.11</v>
      </c>
      <c r="J368" s="4">
        <v>2000</v>
      </c>
      <c r="K368" s="2" t="s">
        <v>47</v>
      </c>
      <c r="L368" s="2" t="s">
        <v>27</v>
      </c>
      <c r="M368" s="17">
        <f t="shared" si="15"/>
        <v>502.11000000000013</v>
      </c>
      <c r="N368" s="15">
        <f t="shared" si="16"/>
        <v>-2502.11</v>
      </c>
      <c r="O368" t="str">
        <f t="shared" si="17"/>
        <v>Yes</v>
      </c>
    </row>
    <row r="369" spans="1:15" x14ac:dyDescent="0.3">
      <c r="A369" s="5" t="s">
        <v>476</v>
      </c>
      <c r="B369" s="6">
        <v>45499</v>
      </c>
      <c r="C369" s="5" t="s">
        <v>424</v>
      </c>
      <c r="D369" s="5" t="s">
        <v>14</v>
      </c>
      <c r="E369" s="5" t="s">
        <v>112</v>
      </c>
      <c r="F369" s="5" t="s">
        <v>193</v>
      </c>
      <c r="G369" s="5" t="s">
        <v>194</v>
      </c>
      <c r="H369" s="5" t="s">
        <v>37</v>
      </c>
      <c r="I369" s="14">
        <v>9195.99</v>
      </c>
      <c r="J369" s="7">
        <v>8000</v>
      </c>
      <c r="K369" s="5" t="s">
        <v>19</v>
      </c>
      <c r="L369" s="5" t="s">
        <v>20</v>
      </c>
      <c r="M369" s="17">
        <f t="shared" si="15"/>
        <v>1195.9899999999998</v>
      </c>
      <c r="N369" s="15">
        <f t="shared" si="16"/>
        <v>-9195.99</v>
      </c>
      <c r="O369" t="str">
        <f t="shared" si="17"/>
        <v>Yes</v>
      </c>
    </row>
    <row r="370" spans="1:15" x14ac:dyDescent="0.3">
      <c r="A370" s="2" t="s">
        <v>477</v>
      </c>
      <c r="B370" s="3">
        <v>45500</v>
      </c>
      <c r="C370" s="2" t="s">
        <v>424</v>
      </c>
      <c r="D370" s="2" t="s">
        <v>14</v>
      </c>
      <c r="E370" s="2" t="s">
        <v>72</v>
      </c>
      <c r="F370" s="2" t="s">
        <v>73</v>
      </c>
      <c r="G370" s="2" t="s">
        <v>74</v>
      </c>
      <c r="H370" s="2" t="s">
        <v>52</v>
      </c>
      <c r="I370" s="12">
        <v>1677.91</v>
      </c>
      <c r="J370" s="4">
        <v>2000</v>
      </c>
      <c r="K370" s="2" t="s">
        <v>26</v>
      </c>
      <c r="L370" s="2" t="s">
        <v>27</v>
      </c>
      <c r="M370" s="17">
        <f t="shared" si="15"/>
        <v>-322.08999999999992</v>
      </c>
      <c r="N370" s="15">
        <f t="shared" si="16"/>
        <v>-1677.91</v>
      </c>
      <c r="O370" t="str">
        <f t="shared" si="17"/>
        <v>No</v>
      </c>
    </row>
    <row r="371" spans="1:15" x14ac:dyDescent="0.3">
      <c r="A371" s="5" t="s">
        <v>478</v>
      </c>
      <c r="B371" s="6">
        <v>45501</v>
      </c>
      <c r="C371" s="5" t="s">
        <v>424</v>
      </c>
      <c r="D371" s="5" t="s">
        <v>14</v>
      </c>
      <c r="E371" s="5" t="s">
        <v>29</v>
      </c>
      <c r="F371" s="5" t="s">
        <v>238</v>
      </c>
      <c r="G371" s="5" t="s">
        <v>239</v>
      </c>
      <c r="H371" s="5" t="s">
        <v>25</v>
      </c>
      <c r="I371" s="14">
        <v>3752.27</v>
      </c>
      <c r="J371" s="7">
        <v>3000</v>
      </c>
      <c r="K371" s="5" t="s">
        <v>38</v>
      </c>
      <c r="L371" s="5" t="s">
        <v>20</v>
      </c>
      <c r="M371" s="17">
        <f t="shared" si="15"/>
        <v>752.27</v>
      </c>
      <c r="N371" s="15">
        <f t="shared" si="16"/>
        <v>-3752.27</v>
      </c>
      <c r="O371" t="str">
        <f t="shared" si="17"/>
        <v>Yes</v>
      </c>
    </row>
    <row r="372" spans="1:15" x14ac:dyDescent="0.3">
      <c r="A372" s="2" t="s">
        <v>479</v>
      </c>
      <c r="B372" s="3">
        <v>45501</v>
      </c>
      <c r="C372" s="2" t="s">
        <v>424</v>
      </c>
      <c r="D372" s="2" t="s">
        <v>14</v>
      </c>
      <c r="E372" s="2" t="s">
        <v>40</v>
      </c>
      <c r="F372" s="2" t="s">
        <v>41</v>
      </c>
      <c r="G372" s="2" t="s">
        <v>42</v>
      </c>
      <c r="H372" s="2" t="s">
        <v>18</v>
      </c>
      <c r="I372" s="12">
        <v>4621.74</v>
      </c>
      <c r="J372" s="4">
        <v>6000</v>
      </c>
      <c r="K372" s="2" t="s">
        <v>19</v>
      </c>
      <c r="L372" s="2" t="s">
        <v>27</v>
      </c>
      <c r="M372" s="17">
        <f t="shared" si="15"/>
        <v>-1378.2600000000002</v>
      </c>
      <c r="N372" s="15">
        <f t="shared" si="16"/>
        <v>-4621.74</v>
      </c>
      <c r="O372" t="str">
        <f t="shared" si="17"/>
        <v>No</v>
      </c>
    </row>
    <row r="373" spans="1:15" x14ac:dyDescent="0.3">
      <c r="A373" s="5" t="s">
        <v>480</v>
      </c>
      <c r="B373" s="6">
        <v>45501</v>
      </c>
      <c r="C373" s="5" t="s">
        <v>424</v>
      </c>
      <c r="D373" s="5" t="s">
        <v>14</v>
      </c>
      <c r="E373" s="5" t="s">
        <v>15</v>
      </c>
      <c r="F373" s="5" t="s">
        <v>83</v>
      </c>
      <c r="G373" s="5" t="s">
        <v>84</v>
      </c>
      <c r="H373" s="5" t="s">
        <v>25</v>
      </c>
      <c r="I373" s="14">
        <v>14197.91</v>
      </c>
      <c r="J373" s="7">
        <v>12000</v>
      </c>
      <c r="K373" s="5" t="s">
        <v>26</v>
      </c>
      <c r="L373" s="5" t="s">
        <v>20</v>
      </c>
      <c r="M373" s="17">
        <f t="shared" si="15"/>
        <v>2197.91</v>
      </c>
      <c r="N373" s="15">
        <f t="shared" si="16"/>
        <v>-14197.91</v>
      </c>
      <c r="O373" t="str">
        <f t="shared" si="17"/>
        <v>Yes</v>
      </c>
    </row>
    <row r="374" spans="1:15" x14ac:dyDescent="0.3">
      <c r="A374" s="2" t="s">
        <v>481</v>
      </c>
      <c r="B374" s="3">
        <v>45501</v>
      </c>
      <c r="C374" s="2" t="s">
        <v>424</v>
      </c>
      <c r="D374" s="2" t="s">
        <v>14</v>
      </c>
      <c r="E374" s="2" t="s">
        <v>22</v>
      </c>
      <c r="F374" s="2" t="s">
        <v>23</v>
      </c>
      <c r="G374" s="2" t="s">
        <v>24</v>
      </c>
      <c r="H374" s="2" t="s">
        <v>37</v>
      </c>
      <c r="I374" s="12">
        <v>1676.98</v>
      </c>
      <c r="J374" s="4">
        <v>2500</v>
      </c>
      <c r="K374" s="2" t="s">
        <v>38</v>
      </c>
      <c r="L374" s="2" t="s">
        <v>27</v>
      </c>
      <c r="M374" s="17">
        <f t="shared" si="15"/>
        <v>-823.02</v>
      </c>
      <c r="N374" s="15">
        <f t="shared" si="16"/>
        <v>-1676.98</v>
      </c>
      <c r="O374" t="str">
        <f t="shared" si="17"/>
        <v>No</v>
      </c>
    </row>
    <row r="375" spans="1:15" x14ac:dyDescent="0.3">
      <c r="A375" s="5" t="s">
        <v>482</v>
      </c>
      <c r="B375" s="6">
        <v>45504</v>
      </c>
      <c r="C375" s="5" t="s">
        <v>424</v>
      </c>
      <c r="D375" s="5" t="s">
        <v>14</v>
      </c>
      <c r="E375" s="5" t="s">
        <v>29</v>
      </c>
      <c r="F375" s="5" t="s">
        <v>80</v>
      </c>
      <c r="G375" s="5" t="s">
        <v>81</v>
      </c>
      <c r="H375" s="5" t="s">
        <v>37</v>
      </c>
      <c r="I375" s="14">
        <v>3816.33</v>
      </c>
      <c r="J375" s="7">
        <v>3000</v>
      </c>
      <c r="K375" s="5" t="s">
        <v>19</v>
      </c>
      <c r="L375" s="5" t="s">
        <v>20</v>
      </c>
      <c r="M375" s="17">
        <f t="shared" si="15"/>
        <v>816.32999999999993</v>
      </c>
      <c r="N375" s="15">
        <f t="shared" si="16"/>
        <v>-3816.33</v>
      </c>
      <c r="O375" t="str">
        <f t="shared" si="17"/>
        <v>Yes</v>
      </c>
    </row>
    <row r="376" spans="1:15" x14ac:dyDescent="0.3">
      <c r="A376" s="2" t="s">
        <v>483</v>
      </c>
      <c r="B376" s="3">
        <v>45504</v>
      </c>
      <c r="C376" s="2" t="s">
        <v>424</v>
      </c>
      <c r="D376" s="2" t="s">
        <v>14</v>
      </c>
      <c r="E376" s="2" t="s">
        <v>22</v>
      </c>
      <c r="F376" s="2" t="s">
        <v>23</v>
      </c>
      <c r="G376" s="2" t="s">
        <v>24</v>
      </c>
      <c r="H376" s="2" t="s">
        <v>18</v>
      </c>
      <c r="I376" s="12">
        <v>2207.85</v>
      </c>
      <c r="J376" s="4">
        <v>2500</v>
      </c>
      <c r="K376" s="2" t="s">
        <v>26</v>
      </c>
      <c r="L376" s="2" t="s">
        <v>27</v>
      </c>
      <c r="M376" s="17">
        <f t="shared" si="15"/>
        <v>-292.15000000000009</v>
      </c>
      <c r="N376" s="15">
        <f t="shared" si="16"/>
        <v>-2207.85</v>
      </c>
      <c r="O376" t="str">
        <f t="shared" si="17"/>
        <v>No</v>
      </c>
    </row>
    <row r="377" spans="1:15" x14ac:dyDescent="0.3">
      <c r="A377" s="5" t="s">
        <v>484</v>
      </c>
      <c r="B377" s="6">
        <v>45505</v>
      </c>
      <c r="C377" s="5" t="s">
        <v>485</v>
      </c>
      <c r="D377" s="5" t="s">
        <v>14</v>
      </c>
      <c r="E377" s="5" t="s">
        <v>15</v>
      </c>
      <c r="F377" s="5" t="s">
        <v>60</v>
      </c>
      <c r="G377" s="5" t="s">
        <v>61</v>
      </c>
      <c r="H377" s="5" t="s">
        <v>18</v>
      </c>
      <c r="I377" s="14">
        <v>9969.92</v>
      </c>
      <c r="J377" s="7">
        <v>12000</v>
      </c>
      <c r="K377" s="5" t="s">
        <v>19</v>
      </c>
      <c r="L377" s="5" t="s">
        <v>20</v>
      </c>
      <c r="M377" s="17">
        <f t="shared" si="15"/>
        <v>-2030.08</v>
      </c>
      <c r="N377" s="15">
        <f t="shared" si="16"/>
        <v>-9969.92</v>
      </c>
      <c r="O377" t="str">
        <f t="shared" si="17"/>
        <v>No</v>
      </c>
    </row>
    <row r="378" spans="1:15" x14ac:dyDescent="0.3">
      <c r="A378" s="2" t="s">
        <v>486</v>
      </c>
      <c r="B378" s="3">
        <v>45505</v>
      </c>
      <c r="C378" s="2" t="s">
        <v>485</v>
      </c>
      <c r="D378" s="2" t="s">
        <v>54</v>
      </c>
      <c r="E378" s="2" t="s">
        <v>55</v>
      </c>
      <c r="F378" s="2" t="s">
        <v>56</v>
      </c>
      <c r="G378" s="2" t="s">
        <v>57</v>
      </c>
      <c r="H378" s="2" t="s">
        <v>52</v>
      </c>
      <c r="I378" s="12">
        <v>54291.27</v>
      </c>
      <c r="J378" s="4">
        <v>0</v>
      </c>
      <c r="K378" s="2" t="s">
        <v>38</v>
      </c>
      <c r="L378" s="2" t="s">
        <v>20</v>
      </c>
      <c r="M378" s="17" t="str">
        <f t="shared" si="15"/>
        <v>0</v>
      </c>
      <c r="N378" s="15">
        <f t="shared" si="16"/>
        <v>54291.27</v>
      </c>
      <c r="O378" t="str">
        <f t="shared" si="17"/>
        <v>Yes</v>
      </c>
    </row>
    <row r="379" spans="1:15" x14ac:dyDescent="0.3">
      <c r="A379" s="5" t="s">
        <v>487</v>
      </c>
      <c r="B379" s="6">
        <v>45506</v>
      </c>
      <c r="C379" s="5" t="s">
        <v>485</v>
      </c>
      <c r="D379" s="5" t="s">
        <v>14</v>
      </c>
      <c r="E379" s="5" t="s">
        <v>22</v>
      </c>
      <c r="F379" s="5" t="s">
        <v>154</v>
      </c>
      <c r="G379" s="5" t="s">
        <v>155</v>
      </c>
      <c r="H379" s="5" t="s">
        <v>32</v>
      </c>
      <c r="I379" s="14">
        <v>1477.33</v>
      </c>
      <c r="J379" s="7">
        <v>2500</v>
      </c>
      <c r="K379" s="5" t="s">
        <v>26</v>
      </c>
      <c r="L379" s="5" t="s">
        <v>20</v>
      </c>
      <c r="M379" s="17">
        <f t="shared" si="15"/>
        <v>-1022.6700000000001</v>
      </c>
      <c r="N379" s="15">
        <f t="shared" si="16"/>
        <v>-1477.33</v>
      </c>
      <c r="O379" t="str">
        <f t="shared" si="17"/>
        <v>No</v>
      </c>
    </row>
    <row r="380" spans="1:15" x14ac:dyDescent="0.3">
      <c r="A380" s="2" t="s">
        <v>488</v>
      </c>
      <c r="B380" s="3">
        <v>45507</v>
      </c>
      <c r="C380" s="2" t="s">
        <v>485</v>
      </c>
      <c r="D380" s="2" t="s">
        <v>14</v>
      </c>
      <c r="E380" s="2" t="s">
        <v>34</v>
      </c>
      <c r="F380" s="2" t="s">
        <v>94</v>
      </c>
      <c r="G380" s="2" t="s">
        <v>95</v>
      </c>
      <c r="H380" s="2" t="s">
        <v>18</v>
      </c>
      <c r="I380" s="12">
        <v>4475.1499999999996</v>
      </c>
      <c r="J380" s="4">
        <v>4000</v>
      </c>
      <c r="K380" s="2" t="s">
        <v>19</v>
      </c>
      <c r="L380" s="2" t="s">
        <v>27</v>
      </c>
      <c r="M380" s="17">
        <f t="shared" si="15"/>
        <v>475.14999999999964</v>
      </c>
      <c r="N380" s="15">
        <f t="shared" si="16"/>
        <v>-4475.1499999999996</v>
      </c>
      <c r="O380" t="str">
        <f t="shared" si="17"/>
        <v>Yes</v>
      </c>
    </row>
    <row r="381" spans="1:15" x14ac:dyDescent="0.3">
      <c r="A381" s="5" t="s">
        <v>489</v>
      </c>
      <c r="B381" s="6">
        <v>45507</v>
      </c>
      <c r="C381" s="5" t="s">
        <v>485</v>
      </c>
      <c r="D381" s="5" t="s">
        <v>14</v>
      </c>
      <c r="E381" s="5" t="s">
        <v>34</v>
      </c>
      <c r="F381" s="5" t="s">
        <v>157</v>
      </c>
      <c r="G381" s="5" t="s">
        <v>158</v>
      </c>
      <c r="H381" s="5" t="s">
        <v>52</v>
      </c>
      <c r="I381" s="14">
        <v>5105.2</v>
      </c>
      <c r="J381" s="7">
        <v>4000</v>
      </c>
      <c r="K381" s="5" t="s">
        <v>19</v>
      </c>
      <c r="L381" s="5" t="s">
        <v>20</v>
      </c>
      <c r="M381" s="17">
        <f t="shared" si="15"/>
        <v>1105.1999999999998</v>
      </c>
      <c r="N381" s="15">
        <f t="shared" si="16"/>
        <v>-5105.2</v>
      </c>
      <c r="O381" t="str">
        <f t="shared" si="17"/>
        <v>Yes</v>
      </c>
    </row>
    <row r="382" spans="1:15" x14ac:dyDescent="0.3">
      <c r="A382" s="2" t="s">
        <v>490</v>
      </c>
      <c r="B382" s="3">
        <v>45508</v>
      </c>
      <c r="C382" s="2" t="s">
        <v>485</v>
      </c>
      <c r="D382" s="2" t="s">
        <v>14</v>
      </c>
      <c r="E382" s="2" t="s">
        <v>40</v>
      </c>
      <c r="F382" s="2" t="s">
        <v>97</v>
      </c>
      <c r="G382" s="2" t="s">
        <v>98</v>
      </c>
      <c r="H382" s="2" t="s">
        <v>18</v>
      </c>
      <c r="I382" s="12">
        <v>6630.46</v>
      </c>
      <c r="J382" s="4">
        <v>6000</v>
      </c>
      <c r="K382" s="2" t="s">
        <v>26</v>
      </c>
      <c r="L382" s="2" t="s">
        <v>27</v>
      </c>
      <c r="M382" s="17">
        <f t="shared" si="15"/>
        <v>630.46</v>
      </c>
      <c r="N382" s="15">
        <f t="shared" si="16"/>
        <v>-6630.46</v>
      </c>
      <c r="O382" t="str">
        <f t="shared" si="17"/>
        <v>Yes</v>
      </c>
    </row>
    <row r="383" spans="1:15" x14ac:dyDescent="0.3">
      <c r="A383" s="5" t="s">
        <v>491</v>
      </c>
      <c r="B383" s="6">
        <v>45508</v>
      </c>
      <c r="C383" s="5" t="s">
        <v>485</v>
      </c>
      <c r="D383" s="5" t="s">
        <v>14</v>
      </c>
      <c r="E383" s="5" t="s">
        <v>49</v>
      </c>
      <c r="F383" s="5" t="s">
        <v>180</v>
      </c>
      <c r="G383" s="5" t="s">
        <v>181</v>
      </c>
      <c r="H383" s="5" t="s">
        <v>18</v>
      </c>
      <c r="I383" s="14">
        <v>1921.34</v>
      </c>
      <c r="J383" s="7">
        <v>3500</v>
      </c>
      <c r="K383" s="5" t="s">
        <v>19</v>
      </c>
      <c r="L383" s="5" t="s">
        <v>27</v>
      </c>
      <c r="M383" s="17">
        <f t="shared" si="15"/>
        <v>-1578.66</v>
      </c>
      <c r="N383" s="15">
        <f t="shared" si="16"/>
        <v>-1921.34</v>
      </c>
      <c r="O383" t="str">
        <f t="shared" si="17"/>
        <v>No</v>
      </c>
    </row>
    <row r="384" spans="1:15" x14ac:dyDescent="0.3">
      <c r="A384" s="2" t="s">
        <v>492</v>
      </c>
      <c r="B384" s="3">
        <v>45509</v>
      </c>
      <c r="C384" s="2" t="s">
        <v>485</v>
      </c>
      <c r="D384" s="2" t="s">
        <v>14</v>
      </c>
      <c r="E384" s="2" t="s">
        <v>112</v>
      </c>
      <c r="F384" s="2" t="s">
        <v>135</v>
      </c>
      <c r="G384" s="2" t="s">
        <v>136</v>
      </c>
      <c r="H384" s="2" t="s">
        <v>18</v>
      </c>
      <c r="I384" s="12">
        <v>5979.48</v>
      </c>
      <c r="J384" s="4">
        <v>8000</v>
      </c>
      <c r="K384" s="2" t="s">
        <v>47</v>
      </c>
      <c r="L384" s="2" t="s">
        <v>20</v>
      </c>
      <c r="M384" s="17">
        <f t="shared" si="15"/>
        <v>-2020.5200000000004</v>
      </c>
      <c r="N384" s="15">
        <f t="shared" si="16"/>
        <v>-5979.48</v>
      </c>
      <c r="O384" t="str">
        <f t="shared" si="17"/>
        <v>No</v>
      </c>
    </row>
    <row r="385" spans="1:15" x14ac:dyDescent="0.3">
      <c r="A385" s="5" t="s">
        <v>493</v>
      </c>
      <c r="B385" s="6">
        <v>45509</v>
      </c>
      <c r="C385" s="5" t="s">
        <v>485</v>
      </c>
      <c r="D385" s="5" t="s">
        <v>14</v>
      </c>
      <c r="E385" s="5" t="s">
        <v>29</v>
      </c>
      <c r="F385" s="5" t="s">
        <v>80</v>
      </c>
      <c r="G385" s="5" t="s">
        <v>81</v>
      </c>
      <c r="H385" s="5" t="s">
        <v>25</v>
      </c>
      <c r="I385" s="14">
        <v>2995.37</v>
      </c>
      <c r="J385" s="7">
        <v>3000</v>
      </c>
      <c r="K385" s="5" t="s">
        <v>19</v>
      </c>
      <c r="L385" s="5" t="s">
        <v>20</v>
      </c>
      <c r="M385" s="17">
        <f t="shared" si="15"/>
        <v>-4.6300000000001091</v>
      </c>
      <c r="N385" s="15">
        <f t="shared" si="16"/>
        <v>-2995.37</v>
      </c>
      <c r="O385" t="str">
        <f t="shared" si="17"/>
        <v>No</v>
      </c>
    </row>
    <row r="386" spans="1:15" x14ac:dyDescent="0.3">
      <c r="A386" s="2" t="s">
        <v>494</v>
      </c>
      <c r="B386" s="3">
        <v>45510</v>
      </c>
      <c r="C386" s="2" t="s">
        <v>485</v>
      </c>
      <c r="D386" s="2" t="s">
        <v>14</v>
      </c>
      <c r="E386" s="2" t="s">
        <v>22</v>
      </c>
      <c r="F386" s="2" t="s">
        <v>154</v>
      </c>
      <c r="G386" s="2" t="s">
        <v>155</v>
      </c>
      <c r="H386" s="2" t="s">
        <v>37</v>
      </c>
      <c r="I386" s="12">
        <v>2591.88</v>
      </c>
      <c r="J386" s="4">
        <v>2500</v>
      </c>
      <c r="K386" s="2" t="s">
        <v>38</v>
      </c>
      <c r="L386" s="2" t="s">
        <v>27</v>
      </c>
      <c r="M386" s="17">
        <f t="shared" si="15"/>
        <v>91.880000000000109</v>
      </c>
      <c r="N386" s="15">
        <f t="shared" si="16"/>
        <v>-2591.88</v>
      </c>
      <c r="O386" t="str">
        <f t="shared" si="17"/>
        <v>Yes</v>
      </c>
    </row>
    <row r="387" spans="1:15" x14ac:dyDescent="0.3">
      <c r="A387" s="5" t="s">
        <v>495</v>
      </c>
      <c r="B387" s="6">
        <v>45510</v>
      </c>
      <c r="C387" s="5" t="s">
        <v>485</v>
      </c>
      <c r="D387" s="5" t="s">
        <v>14</v>
      </c>
      <c r="E387" s="5" t="s">
        <v>112</v>
      </c>
      <c r="F387" s="5" t="s">
        <v>135</v>
      </c>
      <c r="G387" s="5" t="s">
        <v>136</v>
      </c>
      <c r="H387" s="5" t="s">
        <v>37</v>
      </c>
      <c r="I387" s="14">
        <v>5382.76</v>
      </c>
      <c r="J387" s="7">
        <v>8000</v>
      </c>
      <c r="K387" s="5" t="s">
        <v>19</v>
      </c>
      <c r="L387" s="5" t="s">
        <v>20</v>
      </c>
      <c r="M387" s="17">
        <f t="shared" ref="M387:M450" si="18">IF(J387=0,"0",I387-J387)</f>
        <v>-2617.2399999999998</v>
      </c>
      <c r="N387" s="15">
        <f t="shared" ref="N387:N450" si="19">IF(D387="Income",I387,-I387)</f>
        <v>-5382.76</v>
      </c>
      <c r="O387" t="str">
        <f t="shared" ref="O387:O450" si="20">IF(M387&gt;0,"Yes","No")</f>
        <v>No</v>
      </c>
    </row>
    <row r="388" spans="1:15" x14ac:dyDescent="0.3">
      <c r="A388" s="2" t="s">
        <v>496</v>
      </c>
      <c r="B388" s="3">
        <v>45510</v>
      </c>
      <c r="C388" s="2" t="s">
        <v>485</v>
      </c>
      <c r="D388" s="2" t="s">
        <v>14</v>
      </c>
      <c r="E388" s="2" t="s">
        <v>44</v>
      </c>
      <c r="F388" s="2" t="s">
        <v>45</v>
      </c>
      <c r="G388" s="2" t="s">
        <v>46</v>
      </c>
      <c r="H388" s="2" t="s">
        <v>18</v>
      </c>
      <c r="I388" s="12">
        <v>15685.45</v>
      </c>
      <c r="J388" s="4">
        <v>15000</v>
      </c>
      <c r="K388" s="2" t="s">
        <v>47</v>
      </c>
      <c r="L388" s="2" t="s">
        <v>20</v>
      </c>
      <c r="M388" s="17">
        <f t="shared" si="18"/>
        <v>685.45000000000073</v>
      </c>
      <c r="N388" s="15">
        <f t="shared" si="19"/>
        <v>-15685.45</v>
      </c>
      <c r="O388" t="str">
        <f t="shared" si="20"/>
        <v>Yes</v>
      </c>
    </row>
    <row r="389" spans="1:15" x14ac:dyDescent="0.3">
      <c r="A389" s="5" t="s">
        <v>497</v>
      </c>
      <c r="B389" s="6">
        <v>45510</v>
      </c>
      <c r="C389" s="5" t="s">
        <v>485</v>
      </c>
      <c r="D389" s="5" t="s">
        <v>14</v>
      </c>
      <c r="E389" s="5" t="s">
        <v>15</v>
      </c>
      <c r="F389" s="5" t="s">
        <v>16</v>
      </c>
      <c r="G389" s="5" t="s">
        <v>17</v>
      </c>
      <c r="H389" s="5" t="s">
        <v>37</v>
      </c>
      <c r="I389" s="14">
        <v>13945.92</v>
      </c>
      <c r="J389" s="7">
        <v>12000</v>
      </c>
      <c r="K389" s="5" t="s">
        <v>26</v>
      </c>
      <c r="L389" s="5" t="s">
        <v>20</v>
      </c>
      <c r="M389" s="17">
        <f t="shared" si="18"/>
        <v>1945.92</v>
      </c>
      <c r="N389" s="15">
        <f t="shared" si="19"/>
        <v>-13945.92</v>
      </c>
      <c r="O389" t="str">
        <f t="shared" si="20"/>
        <v>Yes</v>
      </c>
    </row>
    <row r="390" spans="1:15" x14ac:dyDescent="0.3">
      <c r="A390" s="2" t="s">
        <v>498</v>
      </c>
      <c r="B390" s="3">
        <v>45510</v>
      </c>
      <c r="C390" s="2" t="s">
        <v>485</v>
      </c>
      <c r="D390" s="2" t="s">
        <v>54</v>
      </c>
      <c r="E390" s="2" t="s">
        <v>55</v>
      </c>
      <c r="F390" s="2" t="s">
        <v>56</v>
      </c>
      <c r="G390" s="2" t="s">
        <v>57</v>
      </c>
      <c r="H390" s="2" t="s">
        <v>32</v>
      </c>
      <c r="I390" s="12">
        <v>53918.7</v>
      </c>
      <c r="J390" s="4">
        <v>0</v>
      </c>
      <c r="K390" s="2" t="s">
        <v>47</v>
      </c>
      <c r="L390" s="2" t="s">
        <v>20</v>
      </c>
      <c r="M390" s="17" t="str">
        <f t="shared" si="18"/>
        <v>0</v>
      </c>
      <c r="N390" s="15">
        <f t="shared" si="19"/>
        <v>53918.7</v>
      </c>
      <c r="O390" t="str">
        <f t="shared" si="20"/>
        <v>Yes</v>
      </c>
    </row>
    <row r="391" spans="1:15" x14ac:dyDescent="0.3">
      <c r="A391" s="5" t="s">
        <v>499</v>
      </c>
      <c r="B391" s="6">
        <v>45511</v>
      </c>
      <c r="C391" s="5" t="s">
        <v>485</v>
      </c>
      <c r="D391" s="5" t="s">
        <v>14</v>
      </c>
      <c r="E391" s="5" t="s">
        <v>49</v>
      </c>
      <c r="F391" s="5" t="s">
        <v>50</v>
      </c>
      <c r="G391" s="5" t="s">
        <v>51</v>
      </c>
      <c r="H391" s="5" t="s">
        <v>18</v>
      </c>
      <c r="I391" s="14">
        <v>2146.25</v>
      </c>
      <c r="J391" s="7">
        <v>3500</v>
      </c>
      <c r="K391" s="5" t="s">
        <v>19</v>
      </c>
      <c r="L391" s="5" t="s">
        <v>27</v>
      </c>
      <c r="M391" s="17">
        <f t="shared" si="18"/>
        <v>-1353.75</v>
      </c>
      <c r="N391" s="15">
        <f t="shared" si="19"/>
        <v>-2146.25</v>
      </c>
      <c r="O391" t="str">
        <f t="shared" si="20"/>
        <v>No</v>
      </c>
    </row>
    <row r="392" spans="1:15" x14ac:dyDescent="0.3">
      <c r="A392" s="2" t="s">
        <v>500</v>
      </c>
      <c r="B392" s="3">
        <v>45511</v>
      </c>
      <c r="C392" s="2" t="s">
        <v>485</v>
      </c>
      <c r="D392" s="2" t="s">
        <v>14</v>
      </c>
      <c r="E392" s="2" t="s">
        <v>40</v>
      </c>
      <c r="F392" s="2" t="s">
        <v>97</v>
      </c>
      <c r="G392" s="2" t="s">
        <v>98</v>
      </c>
      <c r="H392" s="2" t="s">
        <v>37</v>
      </c>
      <c r="I392" s="12">
        <v>4093.98</v>
      </c>
      <c r="J392" s="4">
        <v>6000</v>
      </c>
      <c r="K392" s="2" t="s">
        <v>19</v>
      </c>
      <c r="L392" s="2" t="s">
        <v>27</v>
      </c>
      <c r="M392" s="17">
        <f t="shared" si="18"/>
        <v>-1906.02</v>
      </c>
      <c r="N392" s="15">
        <f t="shared" si="19"/>
        <v>-4093.98</v>
      </c>
      <c r="O392" t="str">
        <f t="shared" si="20"/>
        <v>No</v>
      </c>
    </row>
    <row r="393" spans="1:15" x14ac:dyDescent="0.3">
      <c r="A393" s="5" t="s">
        <v>501</v>
      </c>
      <c r="B393" s="6">
        <v>45512</v>
      </c>
      <c r="C393" s="5" t="s">
        <v>485</v>
      </c>
      <c r="D393" s="5" t="s">
        <v>14</v>
      </c>
      <c r="E393" s="5" t="s">
        <v>15</v>
      </c>
      <c r="F393" s="5" t="s">
        <v>60</v>
      </c>
      <c r="G393" s="5" t="s">
        <v>61</v>
      </c>
      <c r="H393" s="5" t="s">
        <v>37</v>
      </c>
      <c r="I393" s="14">
        <v>6056.65</v>
      </c>
      <c r="J393" s="7">
        <v>12000</v>
      </c>
      <c r="K393" s="5" t="s">
        <v>47</v>
      </c>
      <c r="L393" s="5" t="s">
        <v>20</v>
      </c>
      <c r="M393" s="17">
        <f t="shared" si="18"/>
        <v>-5943.35</v>
      </c>
      <c r="N393" s="15">
        <f t="shared" si="19"/>
        <v>-6056.65</v>
      </c>
      <c r="O393" t="str">
        <f t="shared" si="20"/>
        <v>No</v>
      </c>
    </row>
    <row r="394" spans="1:15" x14ac:dyDescent="0.3">
      <c r="A394" s="2" t="s">
        <v>502</v>
      </c>
      <c r="B394" s="3">
        <v>45513</v>
      </c>
      <c r="C394" s="2" t="s">
        <v>485</v>
      </c>
      <c r="D394" s="2" t="s">
        <v>54</v>
      </c>
      <c r="E394" s="2" t="s">
        <v>209</v>
      </c>
      <c r="F394" s="2" t="s">
        <v>314</v>
      </c>
      <c r="G394" s="2" t="s">
        <v>315</v>
      </c>
      <c r="H394" s="2" t="s">
        <v>25</v>
      </c>
      <c r="I394" s="12">
        <v>4006.89</v>
      </c>
      <c r="J394" s="4">
        <v>0</v>
      </c>
      <c r="K394" s="2" t="s">
        <v>19</v>
      </c>
      <c r="L394" s="2" t="s">
        <v>27</v>
      </c>
      <c r="M394" s="17" t="str">
        <f t="shared" si="18"/>
        <v>0</v>
      </c>
      <c r="N394" s="15">
        <f t="shared" si="19"/>
        <v>4006.89</v>
      </c>
      <c r="O394" t="str">
        <f t="shared" si="20"/>
        <v>Yes</v>
      </c>
    </row>
    <row r="395" spans="1:15" x14ac:dyDescent="0.3">
      <c r="A395" s="5" t="s">
        <v>503</v>
      </c>
      <c r="B395" s="6">
        <v>45513</v>
      </c>
      <c r="C395" s="5" t="s">
        <v>485</v>
      </c>
      <c r="D395" s="5" t="s">
        <v>14</v>
      </c>
      <c r="E395" s="5" t="s">
        <v>112</v>
      </c>
      <c r="F395" s="5" t="s">
        <v>135</v>
      </c>
      <c r="G395" s="5" t="s">
        <v>136</v>
      </c>
      <c r="H395" s="5" t="s">
        <v>25</v>
      </c>
      <c r="I395" s="14">
        <v>5109.47</v>
      </c>
      <c r="J395" s="7">
        <v>8000</v>
      </c>
      <c r="K395" s="5" t="s">
        <v>38</v>
      </c>
      <c r="L395" s="5" t="s">
        <v>20</v>
      </c>
      <c r="M395" s="17">
        <f t="shared" si="18"/>
        <v>-2890.5299999999997</v>
      </c>
      <c r="N395" s="15">
        <f t="shared" si="19"/>
        <v>-5109.47</v>
      </c>
      <c r="O395" t="str">
        <f t="shared" si="20"/>
        <v>No</v>
      </c>
    </row>
    <row r="396" spans="1:15" x14ac:dyDescent="0.3">
      <c r="A396" s="2" t="s">
        <v>504</v>
      </c>
      <c r="B396" s="3">
        <v>45513</v>
      </c>
      <c r="C396" s="2" t="s">
        <v>485</v>
      </c>
      <c r="D396" s="2" t="s">
        <v>14</v>
      </c>
      <c r="E396" s="2" t="s">
        <v>112</v>
      </c>
      <c r="F396" s="2" t="s">
        <v>135</v>
      </c>
      <c r="G396" s="2" t="s">
        <v>136</v>
      </c>
      <c r="H396" s="2" t="s">
        <v>25</v>
      </c>
      <c r="I396" s="12">
        <v>7462.47</v>
      </c>
      <c r="J396" s="4">
        <v>8000</v>
      </c>
      <c r="K396" s="2" t="s">
        <v>38</v>
      </c>
      <c r="L396" s="2" t="s">
        <v>20</v>
      </c>
      <c r="M396" s="17">
        <f t="shared" si="18"/>
        <v>-537.52999999999975</v>
      </c>
      <c r="N396" s="15">
        <f t="shared" si="19"/>
        <v>-7462.47</v>
      </c>
      <c r="O396" t="str">
        <f t="shared" si="20"/>
        <v>No</v>
      </c>
    </row>
    <row r="397" spans="1:15" x14ac:dyDescent="0.3">
      <c r="A397" s="5" t="s">
        <v>505</v>
      </c>
      <c r="B397" s="6">
        <v>45514</v>
      </c>
      <c r="C397" s="5" t="s">
        <v>485</v>
      </c>
      <c r="D397" s="5" t="s">
        <v>14</v>
      </c>
      <c r="E397" s="5" t="s">
        <v>104</v>
      </c>
      <c r="F397" s="5" t="s">
        <v>105</v>
      </c>
      <c r="G397" s="5" t="s">
        <v>106</v>
      </c>
      <c r="H397" s="5" t="s">
        <v>18</v>
      </c>
      <c r="I397" s="14">
        <v>2417.9299999999998</v>
      </c>
      <c r="J397" s="7">
        <v>2000</v>
      </c>
      <c r="K397" s="5" t="s">
        <v>38</v>
      </c>
      <c r="L397" s="5" t="s">
        <v>27</v>
      </c>
      <c r="M397" s="17">
        <f t="shared" si="18"/>
        <v>417.92999999999984</v>
      </c>
      <c r="N397" s="15">
        <f t="shared" si="19"/>
        <v>-2417.9299999999998</v>
      </c>
      <c r="O397" t="str">
        <f t="shared" si="20"/>
        <v>Yes</v>
      </c>
    </row>
    <row r="398" spans="1:15" x14ac:dyDescent="0.3">
      <c r="A398" s="2" t="s">
        <v>506</v>
      </c>
      <c r="B398" s="3">
        <v>45515</v>
      </c>
      <c r="C398" s="2" t="s">
        <v>485</v>
      </c>
      <c r="D398" s="2" t="s">
        <v>14</v>
      </c>
      <c r="E398" s="2" t="s">
        <v>40</v>
      </c>
      <c r="F398" s="2" t="s">
        <v>41</v>
      </c>
      <c r="G398" s="2" t="s">
        <v>42</v>
      </c>
      <c r="H398" s="2" t="s">
        <v>52</v>
      </c>
      <c r="I398" s="12">
        <v>6067.08</v>
      </c>
      <c r="J398" s="4">
        <v>6000</v>
      </c>
      <c r="K398" s="2" t="s">
        <v>38</v>
      </c>
      <c r="L398" s="2" t="s">
        <v>27</v>
      </c>
      <c r="M398" s="17">
        <f t="shared" si="18"/>
        <v>67.079999999999927</v>
      </c>
      <c r="N398" s="15">
        <f t="shared" si="19"/>
        <v>-6067.08</v>
      </c>
      <c r="O398" t="str">
        <f t="shared" si="20"/>
        <v>Yes</v>
      </c>
    </row>
    <row r="399" spans="1:15" x14ac:dyDescent="0.3">
      <c r="A399" s="5" t="s">
        <v>507</v>
      </c>
      <c r="B399" s="6">
        <v>45515</v>
      </c>
      <c r="C399" s="5" t="s">
        <v>485</v>
      </c>
      <c r="D399" s="5" t="s">
        <v>14</v>
      </c>
      <c r="E399" s="5" t="s">
        <v>49</v>
      </c>
      <c r="F399" s="5" t="s">
        <v>50</v>
      </c>
      <c r="G399" s="5" t="s">
        <v>51</v>
      </c>
      <c r="H399" s="5" t="s">
        <v>37</v>
      </c>
      <c r="I399" s="14">
        <v>2920.95</v>
      </c>
      <c r="J399" s="7">
        <v>3500</v>
      </c>
      <c r="K399" s="5" t="s">
        <v>47</v>
      </c>
      <c r="L399" s="5" t="s">
        <v>27</v>
      </c>
      <c r="M399" s="17">
        <f t="shared" si="18"/>
        <v>-579.05000000000018</v>
      </c>
      <c r="N399" s="15">
        <f t="shared" si="19"/>
        <v>-2920.95</v>
      </c>
      <c r="O399" t="str">
        <f t="shared" si="20"/>
        <v>No</v>
      </c>
    </row>
    <row r="400" spans="1:15" x14ac:dyDescent="0.3">
      <c r="A400" s="2" t="s">
        <v>508</v>
      </c>
      <c r="B400" s="3">
        <v>45516</v>
      </c>
      <c r="C400" s="2" t="s">
        <v>485</v>
      </c>
      <c r="D400" s="2" t="s">
        <v>14</v>
      </c>
      <c r="E400" s="2" t="s">
        <v>34</v>
      </c>
      <c r="F400" s="2" t="s">
        <v>94</v>
      </c>
      <c r="G400" s="2" t="s">
        <v>95</v>
      </c>
      <c r="H400" s="2" t="s">
        <v>52</v>
      </c>
      <c r="I400" s="12">
        <v>4100.6400000000003</v>
      </c>
      <c r="J400" s="4">
        <v>4000</v>
      </c>
      <c r="K400" s="2" t="s">
        <v>26</v>
      </c>
      <c r="L400" s="2" t="s">
        <v>27</v>
      </c>
      <c r="M400" s="17">
        <f t="shared" si="18"/>
        <v>100.64000000000033</v>
      </c>
      <c r="N400" s="15">
        <f t="shared" si="19"/>
        <v>-4100.6400000000003</v>
      </c>
      <c r="O400" t="str">
        <f t="shared" si="20"/>
        <v>Yes</v>
      </c>
    </row>
    <row r="401" spans="1:15" x14ac:dyDescent="0.3">
      <c r="A401" s="5" t="s">
        <v>509</v>
      </c>
      <c r="B401" s="6">
        <v>45517</v>
      </c>
      <c r="C401" s="5" t="s">
        <v>485</v>
      </c>
      <c r="D401" s="5" t="s">
        <v>14</v>
      </c>
      <c r="E401" s="5" t="s">
        <v>44</v>
      </c>
      <c r="F401" s="5" t="s">
        <v>45</v>
      </c>
      <c r="G401" s="5" t="s">
        <v>46</v>
      </c>
      <c r="H401" s="5" t="s">
        <v>37</v>
      </c>
      <c r="I401" s="14">
        <v>9041.2000000000007</v>
      </c>
      <c r="J401" s="7">
        <v>15000</v>
      </c>
      <c r="K401" s="5" t="s">
        <v>19</v>
      </c>
      <c r="L401" s="5" t="s">
        <v>20</v>
      </c>
      <c r="M401" s="17">
        <f t="shared" si="18"/>
        <v>-5958.7999999999993</v>
      </c>
      <c r="N401" s="15">
        <f t="shared" si="19"/>
        <v>-9041.2000000000007</v>
      </c>
      <c r="O401" t="str">
        <f t="shared" si="20"/>
        <v>No</v>
      </c>
    </row>
    <row r="402" spans="1:15" x14ac:dyDescent="0.3">
      <c r="A402" s="2" t="s">
        <v>510</v>
      </c>
      <c r="B402" s="3">
        <v>45518</v>
      </c>
      <c r="C402" s="2" t="s">
        <v>485</v>
      </c>
      <c r="D402" s="2" t="s">
        <v>54</v>
      </c>
      <c r="E402" s="2" t="s">
        <v>87</v>
      </c>
      <c r="F402" s="2" t="s">
        <v>88</v>
      </c>
      <c r="G402" s="2" t="s">
        <v>89</v>
      </c>
      <c r="H402" s="2" t="s">
        <v>37</v>
      </c>
      <c r="I402" s="12">
        <v>11816.94</v>
      </c>
      <c r="J402" s="4">
        <v>0</v>
      </c>
      <c r="K402" s="2" t="s">
        <v>47</v>
      </c>
      <c r="L402" s="2" t="s">
        <v>27</v>
      </c>
      <c r="M402" s="17" t="str">
        <f t="shared" si="18"/>
        <v>0</v>
      </c>
      <c r="N402" s="15">
        <f t="shared" si="19"/>
        <v>11816.94</v>
      </c>
      <c r="O402" t="str">
        <f t="shared" si="20"/>
        <v>Yes</v>
      </c>
    </row>
    <row r="403" spans="1:15" x14ac:dyDescent="0.3">
      <c r="A403" s="5" t="s">
        <v>511</v>
      </c>
      <c r="B403" s="6">
        <v>45518</v>
      </c>
      <c r="C403" s="5" t="s">
        <v>485</v>
      </c>
      <c r="D403" s="5" t="s">
        <v>14</v>
      </c>
      <c r="E403" s="5" t="s">
        <v>104</v>
      </c>
      <c r="F403" s="5" t="s">
        <v>163</v>
      </c>
      <c r="G403" s="5" t="s">
        <v>164</v>
      </c>
      <c r="H403" s="5" t="s">
        <v>25</v>
      </c>
      <c r="I403" s="14">
        <v>1847.85</v>
      </c>
      <c r="J403" s="7">
        <v>2000</v>
      </c>
      <c r="K403" s="5" t="s">
        <v>26</v>
      </c>
      <c r="L403" s="5" t="s">
        <v>20</v>
      </c>
      <c r="M403" s="17">
        <f t="shared" si="18"/>
        <v>-152.15000000000009</v>
      </c>
      <c r="N403" s="15">
        <f t="shared" si="19"/>
        <v>-1847.85</v>
      </c>
      <c r="O403" t="str">
        <f t="shared" si="20"/>
        <v>No</v>
      </c>
    </row>
    <row r="404" spans="1:15" x14ac:dyDescent="0.3">
      <c r="A404" s="2" t="s">
        <v>512</v>
      </c>
      <c r="B404" s="3">
        <v>45519</v>
      </c>
      <c r="C404" s="2" t="s">
        <v>485</v>
      </c>
      <c r="D404" s="2" t="s">
        <v>14</v>
      </c>
      <c r="E404" s="2" t="s">
        <v>40</v>
      </c>
      <c r="F404" s="2" t="s">
        <v>97</v>
      </c>
      <c r="G404" s="2" t="s">
        <v>98</v>
      </c>
      <c r="H404" s="2" t="s">
        <v>37</v>
      </c>
      <c r="I404" s="12">
        <v>5433.86</v>
      </c>
      <c r="J404" s="4">
        <v>6000</v>
      </c>
      <c r="K404" s="2" t="s">
        <v>47</v>
      </c>
      <c r="L404" s="2" t="s">
        <v>27</v>
      </c>
      <c r="M404" s="17">
        <f t="shared" si="18"/>
        <v>-566.14000000000033</v>
      </c>
      <c r="N404" s="15">
        <f t="shared" si="19"/>
        <v>-5433.86</v>
      </c>
      <c r="O404" t="str">
        <f t="shared" si="20"/>
        <v>No</v>
      </c>
    </row>
    <row r="405" spans="1:15" x14ac:dyDescent="0.3">
      <c r="A405" s="5" t="s">
        <v>513</v>
      </c>
      <c r="B405" s="6">
        <v>45519</v>
      </c>
      <c r="C405" s="5" t="s">
        <v>485</v>
      </c>
      <c r="D405" s="5" t="s">
        <v>54</v>
      </c>
      <c r="E405" s="5" t="s">
        <v>55</v>
      </c>
      <c r="F405" s="5" t="s">
        <v>56</v>
      </c>
      <c r="G405" s="5" t="s">
        <v>57</v>
      </c>
      <c r="H405" s="5" t="s">
        <v>25</v>
      </c>
      <c r="I405" s="14">
        <v>47346.09</v>
      </c>
      <c r="J405" s="7">
        <v>0</v>
      </c>
      <c r="K405" s="5" t="s">
        <v>19</v>
      </c>
      <c r="L405" s="5" t="s">
        <v>20</v>
      </c>
      <c r="M405" s="17" t="str">
        <f t="shared" si="18"/>
        <v>0</v>
      </c>
      <c r="N405" s="15">
        <f t="shared" si="19"/>
        <v>47346.09</v>
      </c>
      <c r="O405" t="str">
        <f t="shared" si="20"/>
        <v>Yes</v>
      </c>
    </row>
    <row r="406" spans="1:15" x14ac:dyDescent="0.3">
      <c r="A406" s="2" t="s">
        <v>514</v>
      </c>
      <c r="B406" s="3">
        <v>45520</v>
      </c>
      <c r="C406" s="2" t="s">
        <v>485</v>
      </c>
      <c r="D406" s="2" t="s">
        <v>54</v>
      </c>
      <c r="E406" s="2" t="s">
        <v>55</v>
      </c>
      <c r="F406" s="2" t="s">
        <v>56</v>
      </c>
      <c r="G406" s="2" t="s">
        <v>57</v>
      </c>
      <c r="H406" s="2" t="s">
        <v>52</v>
      </c>
      <c r="I406" s="12">
        <v>47883.06</v>
      </c>
      <c r="J406" s="4">
        <v>0</v>
      </c>
      <c r="K406" s="2" t="s">
        <v>26</v>
      </c>
      <c r="L406" s="2" t="s">
        <v>20</v>
      </c>
      <c r="M406" s="17" t="str">
        <f t="shared" si="18"/>
        <v>0</v>
      </c>
      <c r="N406" s="15">
        <f t="shared" si="19"/>
        <v>47883.06</v>
      </c>
      <c r="O406" t="str">
        <f t="shared" si="20"/>
        <v>Yes</v>
      </c>
    </row>
    <row r="407" spans="1:15" x14ac:dyDescent="0.3">
      <c r="A407" s="5" t="s">
        <v>515</v>
      </c>
      <c r="B407" s="6">
        <v>45521</v>
      </c>
      <c r="C407" s="5" t="s">
        <v>485</v>
      </c>
      <c r="D407" s="5" t="s">
        <v>14</v>
      </c>
      <c r="E407" s="5" t="s">
        <v>104</v>
      </c>
      <c r="F407" s="5" t="s">
        <v>163</v>
      </c>
      <c r="G407" s="5" t="s">
        <v>164</v>
      </c>
      <c r="H407" s="5" t="s">
        <v>18</v>
      </c>
      <c r="I407" s="14">
        <v>1472.16</v>
      </c>
      <c r="J407" s="7">
        <v>2000</v>
      </c>
      <c r="K407" s="5" t="s">
        <v>19</v>
      </c>
      <c r="L407" s="5" t="s">
        <v>27</v>
      </c>
      <c r="M407" s="17">
        <f t="shared" si="18"/>
        <v>-527.83999999999992</v>
      </c>
      <c r="N407" s="15">
        <f t="shared" si="19"/>
        <v>-1472.16</v>
      </c>
      <c r="O407" t="str">
        <f t="shared" si="20"/>
        <v>No</v>
      </c>
    </row>
    <row r="408" spans="1:15" x14ac:dyDescent="0.3">
      <c r="A408" s="2" t="s">
        <v>516</v>
      </c>
      <c r="B408" s="3">
        <v>45521</v>
      </c>
      <c r="C408" s="2" t="s">
        <v>485</v>
      </c>
      <c r="D408" s="2" t="s">
        <v>14</v>
      </c>
      <c r="E408" s="2" t="s">
        <v>104</v>
      </c>
      <c r="F408" s="2" t="s">
        <v>105</v>
      </c>
      <c r="G408" s="2" t="s">
        <v>106</v>
      </c>
      <c r="H408" s="2" t="s">
        <v>52</v>
      </c>
      <c r="I408" s="12">
        <v>1818.82</v>
      </c>
      <c r="J408" s="4">
        <v>2000</v>
      </c>
      <c r="K408" s="2" t="s">
        <v>47</v>
      </c>
      <c r="L408" s="2" t="s">
        <v>27</v>
      </c>
      <c r="M408" s="17">
        <f t="shared" si="18"/>
        <v>-181.18000000000006</v>
      </c>
      <c r="N408" s="15">
        <f t="shared" si="19"/>
        <v>-1818.82</v>
      </c>
      <c r="O408" t="str">
        <f t="shared" si="20"/>
        <v>No</v>
      </c>
    </row>
    <row r="409" spans="1:15" x14ac:dyDescent="0.3">
      <c r="A409" s="5" t="s">
        <v>517</v>
      </c>
      <c r="B409" s="6">
        <v>45521</v>
      </c>
      <c r="C409" s="5" t="s">
        <v>485</v>
      </c>
      <c r="D409" s="5" t="s">
        <v>14</v>
      </c>
      <c r="E409" s="5" t="s">
        <v>22</v>
      </c>
      <c r="F409" s="5" t="s">
        <v>66</v>
      </c>
      <c r="G409" s="5" t="s">
        <v>67</v>
      </c>
      <c r="H409" s="5" t="s">
        <v>25</v>
      </c>
      <c r="I409" s="14">
        <v>2209.38</v>
      </c>
      <c r="J409" s="7">
        <v>2500</v>
      </c>
      <c r="K409" s="5" t="s">
        <v>26</v>
      </c>
      <c r="L409" s="5" t="s">
        <v>27</v>
      </c>
      <c r="M409" s="17">
        <f t="shared" si="18"/>
        <v>-290.61999999999989</v>
      </c>
      <c r="N409" s="15">
        <f t="shared" si="19"/>
        <v>-2209.38</v>
      </c>
      <c r="O409" t="str">
        <f t="shared" si="20"/>
        <v>No</v>
      </c>
    </row>
    <row r="410" spans="1:15" x14ac:dyDescent="0.3">
      <c r="A410" s="2" t="s">
        <v>518</v>
      </c>
      <c r="B410" s="3">
        <v>45521</v>
      </c>
      <c r="C410" s="2" t="s">
        <v>485</v>
      </c>
      <c r="D410" s="2" t="s">
        <v>14</v>
      </c>
      <c r="E410" s="2" t="s">
        <v>104</v>
      </c>
      <c r="F410" s="2" t="s">
        <v>184</v>
      </c>
      <c r="G410" s="2" t="s">
        <v>185</v>
      </c>
      <c r="H410" s="2" t="s">
        <v>18</v>
      </c>
      <c r="I410" s="12">
        <v>2030.13</v>
      </c>
      <c r="J410" s="4">
        <v>2000</v>
      </c>
      <c r="K410" s="2" t="s">
        <v>19</v>
      </c>
      <c r="L410" s="2" t="s">
        <v>27</v>
      </c>
      <c r="M410" s="17">
        <f t="shared" si="18"/>
        <v>30.130000000000109</v>
      </c>
      <c r="N410" s="15">
        <f t="shared" si="19"/>
        <v>-2030.13</v>
      </c>
      <c r="O410" t="str">
        <f t="shared" si="20"/>
        <v>Yes</v>
      </c>
    </row>
    <row r="411" spans="1:15" x14ac:dyDescent="0.3">
      <c r="A411" s="5" t="s">
        <v>519</v>
      </c>
      <c r="B411" s="6">
        <v>45521</v>
      </c>
      <c r="C411" s="5" t="s">
        <v>485</v>
      </c>
      <c r="D411" s="5" t="s">
        <v>14</v>
      </c>
      <c r="E411" s="5" t="s">
        <v>112</v>
      </c>
      <c r="F411" s="5" t="s">
        <v>113</v>
      </c>
      <c r="G411" s="5" t="s">
        <v>114</v>
      </c>
      <c r="H411" s="5" t="s">
        <v>37</v>
      </c>
      <c r="I411" s="14">
        <v>7943.38</v>
      </c>
      <c r="J411" s="7">
        <v>8000</v>
      </c>
      <c r="K411" s="5" t="s">
        <v>47</v>
      </c>
      <c r="L411" s="5" t="s">
        <v>20</v>
      </c>
      <c r="M411" s="17">
        <f t="shared" si="18"/>
        <v>-56.619999999999891</v>
      </c>
      <c r="N411" s="15">
        <f t="shared" si="19"/>
        <v>-7943.38</v>
      </c>
      <c r="O411" t="str">
        <f t="shared" si="20"/>
        <v>No</v>
      </c>
    </row>
    <row r="412" spans="1:15" x14ac:dyDescent="0.3">
      <c r="A412" s="2" t="s">
        <v>520</v>
      </c>
      <c r="B412" s="3">
        <v>45522</v>
      </c>
      <c r="C412" s="2" t="s">
        <v>485</v>
      </c>
      <c r="D412" s="2" t="s">
        <v>14</v>
      </c>
      <c r="E412" s="2" t="s">
        <v>40</v>
      </c>
      <c r="F412" s="2" t="s">
        <v>97</v>
      </c>
      <c r="G412" s="2" t="s">
        <v>98</v>
      </c>
      <c r="H412" s="2" t="s">
        <v>18</v>
      </c>
      <c r="I412" s="12">
        <v>6732.09</v>
      </c>
      <c r="J412" s="4">
        <v>6000</v>
      </c>
      <c r="K412" s="2" t="s">
        <v>19</v>
      </c>
      <c r="L412" s="2" t="s">
        <v>27</v>
      </c>
      <c r="M412" s="17">
        <f t="shared" si="18"/>
        <v>732.09000000000015</v>
      </c>
      <c r="N412" s="15">
        <f t="shared" si="19"/>
        <v>-6732.09</v>
      </c>
      <c r="O412" t="str">
        <f t="shared" si="20"/>
        <v>Yes</v>
      </c>
    </row>
    <row r="413" spans="1:15" x14ac:dyDescent="0.3">
      <c r="A413" s="5" t="s">
        <v>521</v>
      </c>
      <c r="B413" s="6">
        <v>45522</v>
      </c>
      <c r="C413" s="5" t="s">
        <v>485</v>
      </c>
      <c r="D413" s="5" t="s">
        <v>14</v>
      </c>
      <c r="E413" s="5" t="s">
        <v>112</v>
      </c>
      <c r="F413" s="5" t="s">
        <v>135</v>
      </c>
      <c r="G413" s="5" t="s">
        <v>136</v>
      </c>
      <c r="H413" s="5" t="s">
        <v>37</v>
      </c>
      <c r="I413" s="14">
        <v>5785.08</v>
      </c>
      <c r="J413" s="7">
        <v>8000</v>
      </c>
      <c r="K413" s="5" t="s">
        <v>38</v>
      </c>
      <c r="L413" s="5" t="s">
        <v>20</v>
      </c>
      <c r="M413" s="17">
        <f t="shared" si="18"/>
        <v>-2214.92</v>
      </c>
      <c r="N413" s="15">
        <f t="shared" si="19"/>
        <v>-5785.08</v>
      </c>
      <c r="O413" t="str">
        <f t="shared" si="20"/>
        <v>No</v>
      </c>
    </row>
    <row r="414" spans="1:15" x14ac:dyDescent="0.3">
      <c r="A414" s="2" t="s">
        <v>522</v>
      </c>
      <c r="B414" s="3">
        <v>45522</v>
      </c>
      <c r="C414" s="2" t="s">
        <v>485</v>
      </c>
      <c r="D414" s="2" t="s">
        <v>54</v>
      </c>
      <c r="E414" s="2" t="s">
        <v>209</v>
      </c>
      <c r="F414" s="2" t="s">
        <v>210</v>
      </c>
      <c r="G414" s="2" t="s">
        <v>211</v>
      </c>
      <c r="H414" s="2" t="s">
        <v>52</v>
      </c>
      <c r="I414" s="12">
        <v>3178.81</v>
      </c>
      <c r="J414" s="4">
        <v>0</v>
      </c>
      <c r="K414" s="2" t="s">
        <v>47</v>
      </c>
      <c r="L414" s="2" t="s">
        <v>27</v>
      </c>
      <c r="M414" s="17" t="str">
        <f t="shared" si="18"/>
        <v>0</v>
      </c>
      <c r="N414" s="15">
        <f t="shared" si="19"/>
        <v>3178.81</v>
      </c>
      <c r="O414" t="str">
        <f t="shared" si="20"/>
        <v>Yes</v>
      </c>
    </row>
    <row r="415" spans="1:15" x14ac:dyDescent="0.3">
      <c r="A415" s="5" t="s">
        <v>523</v>
      </c>
      <c r="B415" s="6">
        <v>45522</v>
      </c>
      <c r="C415" s="5" t="s">
        <v>485</v>
      </c>
      <c r="D415" s="5" t="s">
        <v>14</v>
      </c>
      <c r="E415" s="5" t="s">
        <v>22</v>
      </c>
      <c r="F415" s="5" t="s">
        <v>66</v>
      </c>
      <c r="G415" s="5" t="s">
        <v>67</v>
      </c>
      <c r="H415" s="5" t="s">
        <v>37</v>
      </c>
      <c r="I415" s="14">
        <v>1798.52</v>
      </c>
      <c r="J415" s="7">
        <v>2500</v>
      </c>
      <c r="K415" s="5" t="s">
        <v>47</v>
      </c>
      <c r="L415" s="5" t="s">
        <v>27</v>
      </c>
      <c r="M415" s="17">
        <f t="shared" si="18"/>
        <v>-701.48</v>
      </c>
      <c r="N415" s="15">
        <f t="shared" si="19"/>
        <v>-1798.52</v>
      </c>
      <c r="O415" t="str">
        <f t="shared" si="20"/>
        <v>No</v>
      </c>
    </row>
    <row r="416" spans="1:15" x14ac:dyDescent="0.3">
      <c r="A416" s="2" t="s">
        <v>524</v>
      </c>
      <c r="B416" s="3">
        <v>45522</v>
      </c>
      <c r="C416" s="2" t="s">
        <v>485</v>
      </c>
      <c r="D416" s="2" t="s">
        <v>54</v>
      </c>
      <c r="E416" s="2" t="s">
        <v>55</v>
      </c>
      <c r="F416" s="2" t="s">
        <v>56</v>
      </c>
      <c r="G416" s="2" t="s">
        <v>57</v>
      </c>
      <c r="H416" s="2" t="s">
        <v>37</v>
      </c>
      <c r="I416" s="12">
        <v>46357.16</v>
      </c>
      <c r="J416" s="4">
        <v>0</v>
      </c>
      <c r="K416" s="2" t="s">
        <v>47</v>
      </c>
      <c r="L416" s="2" t="s">
        <v>20</v>
      </c>
      <c r="M416" s="17" t="str">
        <f t="shared" si="18"/>
        <v>0</v>
      </c>
      <c r="N416" s="15">
        <f t="shared" si="19"/>
        <v>46357.16</v>
      </c>
      <c r="O416" t="str">
        <f t="shared" si="20"/>
        <v>Yes</v>
      </c>
    </row>
    <row r="417" spans="1:15" x14ac:dyDescent="0.3">
      <c r="A417" s="5" t="s">
        <v>525</v>
      </c>
      <c r="B417" s="6">
        <v>45522</v>
      </c>
      <c r="C417" s="5" t="s">
        <v>485</v>
      </c>
      <c r="D417" s="5" t="s">
        <v>14</v>
      </c>
      <c r="E417" s="5" t="s">
        <v>40</v>
      </c>
      <c r="F417" s="5" t="s">
        <v>97</v>
      </c>
      <c r="G417" s="5" t="s">
        <v>98</v>
      </c>
      <c r="H417" s="5" t="s">
        <v>52</v>
      </c>
      <c r="I417" s="14">
        <v>3952.76</v>
      </c>
      <c r="J417" s="7">
        <v>6000</v>
      </c>
      <c r="K417" s="5" t="s">
        <v>47</v>
      </c>
      <c r="L417" s="5" t="s">
        <v>27</v>
      </c>
      <c r="M417" s="17">
        <f t="shared" si="18"/>
        <v>-2047.2399999999998</v>
      </c>
      <c r="N417" s="15">
        <f t="shared" si="19"/>
        <v>-3952.76</v>
      </c>
      <c r="O417" t="str">
        <f t="shared" si="20"/>
        <v>No</v>
      </c>
    </row>
    <row r="418" spans="1:15" x14ac:dyDescent="0.3">
      <c r="A418" s="2" t="s">
        <v>526</v>
      </c>
      <c r="B418" s="3">
        <v>45522</v>
      </c>
      <c r="C418" s="2" t="s">
        <v>485</v>
      </c>
      <c r="D418" s="2" t="s">
        <v>14</v>
      </c>
      <c r="E418" s="2" t="s">
        <v>34</v>
      </c>
      <c r="F418" s="2" t="s">
        <v>35</v>
      </c>
      <c r="G418" s="2" t="s">
        <v>36</v>
      </c>
      <c r="H418" s="2" t="s">
        <v>37</v>
      </c>
      <c r="I418" s="12">
        <v>3222.7</v>
      </c>
      <c r="J418" s="4">
        <v>4000</v>
      </c>
      <c r="K418" s="2" t="s">
        <v>38</v>
      </c>
      <c r="L418" s="2" t="s">
        <v>27</v>
      </c>
      <c r="M418" s="17">
        <f t="shared" si="18"/>
        <v>-777.30000000000018</v>
      </c>
      <c r="N418" s="15">
        <f t="shared" si="19"/>
        <v>-3222.7</v>
      </c>
      <c r="O418" t="str">
        <f t="shared" si="20"/>
        <v>No</v>
      </c>
    </row>
    <row r="419" spans="1:15" x14ac:dyDescent="0.3">
      <c r="A419" s="5" t="s">
        <v>527</v>
      </c>
      <c r="B419" s="6">
        <v>45523</v>
      </c>
      <c r="C419" s="5" t="s">
        <v>485</v>
      </c>
      <c r="D419" s="5" t="s">
        <v>14</v>
      </c>
      <c r="E419" s="5" t="s">
        <v>104</v>
      </c>
      <c r="F419" s="5" t="s">
        <v>163</v>
      </c>
      <c r="G419" s="5" t="s">
        <v>164</v>
      </c>
      <c r="H419" s="5" t="s">
        <v>18</v>
      </c>
      <c r="I419" s="14">
        <v>1342.28</v>
      </c>
      <c r="J419" s="7">
        <v>2000</v>
      </c>
      <c r="K419" s="5" t="s">
        <v>38</v>
      </c>
      <c r="L419" s="5" t="s">
        <v>27</v>
      </c>
      <c r="M419" s="17">
        <f t="shared" si="18"/>
        <v>-657.72</v>
      </c>
      <c r="N419" s="15">
        <f t="shared" si="19"/>
        <v>-1342.28</v>
      </c>
      <c r="O419" t="str">
        <f t="shared" si="20"/>
        <v>No</v>
      </c>
    </row>
    <row r="420" spans="1:15" x14ac:dyDescent="0.3">
      <c r="A420" s="2" t="s">
        <v>528</v>
      </c>
      <c r="B420" s="3">
        <v>45523</v>
      </c>
      <c r="C420" s="2" t="s">
        <v>485</v>
      </c>
      <c r="D420" s="2" t="s">
        <v>14</v>
      </c>
      <c r="E420" s="2" t="s">
        <v>29</v>
      </c>
      <c r="F420" s="2" t="s">
        <v>30</v>
      </c>
      <c r="G420" s="2" t="s">
        <v>31</v>
      </c>
      <c r="H420" s="2" t="s">
        <v>37</v>
      </c>
      <c r="I420" s="12">
        <v>2875.1</v>
      </c>
      <c r="J420" s="4">
        <v>3000</v>
      </c>
      <c r="K420" s="2" t="s">
        <v>19</v>
      </c>
      <c r="L420" s="2" t="s">
        <v>20</v>
      </c>
      <c r="M420" s="17">
        <f t="shared" si="18"/>
        <v>-124.90000000000009</v>
      </c>
      <c r="N420" s="15">
        <f t="shared" si="19"/>
        <v>-2875.1</v>
      </c>
      <c r="O420" t="str">
        <f t="shared" si="20"/>
        <v>No</v>
      </c>
    </row>
    <row r="421" spans="1:15" x14ac:dyDescent="0.3">
      <c r="A421" s="5" t="s">
        <v>529</v>
      </c>
      <c r="B421" s="6">
        <v>45524</v>
      </c>
      <c r="C421" s="5" t="s">
        <v>485</v>
      </c>
      <c r="D421" s="5" t="s">
        <v>14</v>
      </c>
      <c r="E421" s="5" t="s">
        <v>29</v>
      </c>
      <c r="F421" s="5" t="s">
        <v>238</v>
      </c>
      <c r="G421" s="5" t="s">
        <v>239</v>
      </c>
      <c r="H421" s="5" t="s">
        <v>52</v>
      </c>
      <c r="I421" s="14">
        <v>2746.31</v>
      </c>
      <c r="J421" s="7">
        <v>3000</v>
      </c>
      <c r="K421" s="5" t="s">
        <v>38</v>
      </c>
      <c r="L421" s="5" t="s">
        <v>20</v>
      </c>
      <c r="M421" s="17">
        <f t="shared" si="18"/>
        <v>-253.69000000000005</v>
      </c>
      <c r="N421" s="15">
        <f t="shared" si="19"/>
        <v>-2746.31</v>
      </c>
      <c r="O421" t="str">
        <f t="shared" si="20"/>
        <v>No</v>
      </c>
    </row>
    <row r="422" spans="1:15" x14ac:dyDescent="0.3">
      <c r="A422" s="2" t="s">
        <v>530</v>
      </c>
      <c r="B422" s="3">
        <v>45526</v>
      </c>
      <c r="C422" s="2" t="s">
        <v>485</v>
      </c>
      <c r="D422" s="2" t="s">
        <v>14</v>
      </c>
      <c r="E422" s="2" t="s">
        <v>49</v>
      </c>
      <c r="F422" s="2" t="s">
        <v>77</v>
      </c>
      <c r="G422" s="2" t="s">
        <v>78</v>
      </c>
      <c r="H422" s="2" t="s">
        <v>37</v>
      </c>
      <c r="I422" s="12">
        <v>4004.73</v>
      </c>
      <c r="J422" s="4">
        <v>3500</v>
      </c>
      <c r="K422" s="2" t="s">
        <v>47</v>
      </c>
      <c r="L422" s="2" t="s">
        <v>27</v>
      </c>
      <c r="M422" s="17">
        <f t="shared" si="18"/>
        <v>504.73</v>
      </c>
      <c r="N422" s="15">
        <f t="shared" si="19"/>
        <v>-4004.73</v>
      </c>
      <c r="O422" t="str">
        <f t="shared" si="20"/>
        <v>Yes</v>
      </c>
    </row>
    <row r="423" spans="1:15" x14ac:dyDescent="0.3">
      <c r="A423" s="5" t="s">
        <v>531</v>
      </c>
      <c r="B423" s="6">
        <v>45526</v>
      </c>
      <c r="C423" s="5" t="s">
        <v>485</v>
      </c>
      <c r="D423" s="5" t="s">
        <v>14</v>
      </c>
      <c r="E423" s="5" t="s">
        <v>40</v>
      </c>
      <c r="F423" s="5" t="s">
        <v>97</v>
      </c>
      <c r="G423" s="5" t="s">
        <v>98</v>
      </c>
      <c r="H423" s="5" t="s">
        <v>32</v>
      </c>
      <c r="I423" s="14">
        <v>3352.47</v>
      </c>
      <c r="J423" s="7">
        <v>6000</v>
      </c>
      <c r="K423" s="5" t="s">
        <v>26</v>
      </c>
      <c r="L423" s="5" t="s">
        <v>27</v>
      </c>
      <c r="M423" s="17">
        <f t="shared" si="18"/>
        <v>-2647.53</v>
      </c>
      <c r="N423" s="15">
        <f t="shared" si="19"/>
        <v>-3352.47</v>
      </c>
      <c r="O423" t="str">
        <f t="shared" si="20"/>
        <v>No</v>
      </c>
    </row>
    <row r="424" spans="1:15" x14ac:dyDescent="0.3">
      <c r="A424" s="2" t="s">
        <v>532</v>
      </c>
      <c r="B424" s="3">
        <v>45527</v>
      </c>
      <c r="C424" s="2" t="s">
        <v>485</v>
      </c>
      <c r="D424" s="2" t="s">
        <v>14</v>
      </c>
      <c r="E424" s="2" t="s">
        <v>40</v>
      </c>
      <c r="F424" s="2" t="s">
        <v>41</v>
      </c>
      <c r="G424" s="2" t="s">
        <v>42</v>
      </c>
      <c r="H424" s="2" t="s">
        <v>32</v>
      </c>
      <c r="I424" s="12">
        <v>6356.57</v>
      </c>
      <c r="J424" s="4">
        <v>6000</v>
      </c>
      <c r="K424" s="2" t="s">
        <v>38</v>
      </c>
      <c r="L424" s="2" t="s">
        <v>20</v>
      </c>
      <c r="M424" s="17">
        <f t="shared" si="18"/>
        <v>356.56999999999971</v>
      </c>
      <c r="N424" s="15">
        <f t="shared" si="19"/>
        <v>-6356.57</v>
      </c>
      <c r="O424" t="str">
        <f t="shared" si="20"/>
        <v>Yes</v>
      </c>
    </row>
    <row r="425" spans="1:15" x14ac:dyDescent="0.3">
      <c r="A425" s="5" t="s">
        <v>533</v>
      </c>
      <c r="B425" s="6">
        <v>45527</v>
      </c>
      <c r="C425" s="5" t="s">
        <v>485</v>
      </c>
      <c r="D425" s="5" t="s">
        <v>14</v>
      </c>
      <c r="E425" s="5" t="s">
        <v>49</v>
      </c>
      <c r="F425" s="5" t="s">
        <v>50</v>
      </c>
      <c r="G425" s="5" t="s">
        <v>51</v>
      </c>
      <c r="H425" s="5" t="s">
        <v>52</v>
      </c>
      <c r="I425" s="14">
        <v>2147.31</v>
      </c>
      <c r="J425" s="7">
        <v>3500</v>
      </c>
      <c r="K425" s="5" t="s">
        <v>26</v>
      </c>
      <c r="L425" s="5" t="s">
        <v>27</v>
      </c>
      <c r="M425" s="17">
        <f t="shared" si="18"/>
        <v>-1352.69</v>
      </c>
      <c r="N425" s="15">
        <f t="shared" si="19"/>
        <v>-2147.31</v>
      </c>
      <c r="O425" t="str">
        <f t="shared" si="20"/>
        <v>No</v>
      </c>
    </row>
    <row r="426" spans="1:15" x14ac:dyDescent="0.3">
      <c r="A426" s="2" t="s">
        <v>534</v>
      </c>
      <c r="B426" s="3">
        <v>45528</v>
      </c>
      <c r="C426" s="2" t="s">
        <v>485</v>
      </c>
      <c r="D426" s="2" t="s">
        <v>14</v>
      </c>
      <c r="E426" s="2" t="s">
        <v>40</v>
      </c>
      <c r="F426" s="2" t="s">
        <v>41</v>
      </c>
      <c r="G426" s="2" t="s">
        <v>42</v>
      </c>
      <c r="H426" s="2" t="s">
        <v>32</v>
      </c>
      <c r="I426" s="12">
        <v>3029.22</v>
      </c>
      <c r="J426" s="4">
        <v>6000</v>
      </c>
      <c r="K426" s="2" t="s">
        <v>26</v>
      </c>
      <c r="L426" s="2" t="s">
        <v>27</v>
      </c>
      <c r="M426" s="17">
        <f t="shared" si="18"/>
        <v>-2970.78</v>
      </c>
      <c r="N426" s="15">
        <f t="shared" si="19"/>
        <v>-3029.22</v>
      </c>
      <c r="O426" t="str">
        <f t="shared" si="20"/>
        <v>No</v>
      </c>
    </row>
    <row r="427" spans="1:15" x14ac:dyDescent="0.3">
      <c r="A427" s="5" t="s">
        <v>535</v>
      </c>
      <c r="B427" s="6">
        <v>45528</v>
      </c>
      <c r="C427" s="5" t="s">
        <v>485</v>
      </c>
      <c r="D427" s="5" t="s">
        <v>14</v>
      </c>
      <c r="E427" s="5" t="s">
        <v>15</v>
      </c>
      <c r="F427" s="5" t="s">
        <v>83</v>
      </c>
      <c r="G427" s="5" t="s">
        <v>84</v>
      </c>
      <c r="H427" s="5" t="s">
        <v>37</v>
      </c>
      <c r="I427" s="14">
        <v>14942.69</v>
      </c>
      <c r="J427" s="7">
        <v>12000</v>
      </c>
      <c r="K427" s="5" t="s">
        <v>19</v>
      </c>
      <c r="L427" s="5" t="s">
        <v>20</v>
      </c>
      <c r="M427" s="17">
        <f t="shared" si="18"/>
        <v>2942.6900000000005</v>
      </c>
      <c r="N427" s="15">
        <f t="shared" si="19"/>
        <v>-14942.69</v>
      </c>
      <c r="O427" t="str">
        <f t="shared" si="20"/>
        <v>Yes</v>
      </c>
    </row>
    <row r="428" spans="1:15" x14ac:dyDescent="0.3">
      <c r="A428" s="2" t="s">
        <v>536</v>
      </c>
      <c r="B428" s="3">
        <v>45532</v>
      </c>
      <c r="C428" s="2" t="s">
        <v>485</v>
      </c>
      <c r="D428" s="2" t="s">
        <v>54</v>
      </c>
      <c r="E428" s="2" t="s">
        <v>87</v>
      </c>
      <c r="F428" s="2" t="s">
        <v>176</v>
      </c>
      <c r="G428" s="2" t="s">
        <v>177</v>
      </c>
      <c r="H428" s="2" t="s">
        <v>52</v>
      </c>
      <c r="I428" s="12">
        <v>10483.02</v>
      </c>
      <c r="J428" s="4">
        <v>0</v>
      </c>
      <c r="K428" s="2" t="s">
        <v>26</v>
      </c>
      <c r="L428" s="2" t="s">
        <v>27</v>
      </c>
      <c r="M428" s="17" t="str">
        <f t="shared" si="18"/>
        <v>0</v>
      </c>
      <c r="N428" s="15">
        <f t="shared" si="19"/>
        <v>10483.02</v>
      </c>
      <c r="O428" t="str">
        <f t="shared" si="20"/>
        <v>Yes</v>
      </c>
    </row>
    <row r="429" spans="1:15" x14ac:dyDescent="0.3">
      <c r="A429" s="5" t="s">
        <v>537</v>
      </c>
      <c r="B429" s="6">
        <v>45532</v>
      </c>
      <c r="C429" s="5" t="s">
        <v>485</v>
      </c>
      <c r="D429" s="5" t="s">
        <v>14</v>
      </c>
      <c r="E429" s="5" t="s">
        <v>112</v>
      </c>
      <c r="F429" s="5" t="s">
        <v>113</v>
      </c>
      <c r="G429" s="5" t="s">
        <v>114</v>
      </c>
      <c r="H429" s="5" t="s">
        <v>37</v>
      </c>
      <c r="I429" s="14">
        <v>10253.450000000001</v>
      </c>
      <c r="J429" s="7">
        <v>8000</v>
      </c>
      <c r="K429" s="5" t="s">
        <v>38</v>
      </c>
      <c r="L429" s="5" t="s">
        <v>20</v>
      </c>
      <c r="M429" s="17">
        <f t="shared" si="18"/>
        <v>2253.4500000000007</v>
      </c>
      <c r="N429" s="15">
        <f t="shared" si="19"/>
        <v>-10253.450000000001</v>
      </c>
      <c r="O429" t="str">
        <f t="shared" si="20"/>
        <v>Yes</v>
      </c>
    </row>
    <row r="430" spans="1:15" x14ac:dyDescent="0.3">
      <c r="A430" s="2" t="s">
        <v>538</v>
      </c>
      <c r="B430" s="3">
        <v>45533</v>
      </c>
      <c r="C430" s="2" t="s">
        <v>485</v>
      </c>
      <c r="D430" s="2" t="s">
        <v>54</v>
      </c>
      <c r="E430" s="2" t="s">
        <v>55</v>
      </c>
      <c r="F430" s="2" t="s">
        <v>56</v>
      </c>
      <c r="G430" s="2" t="s">
        <v>57</v>
      </c>
      <c r="H430" s="2" t="s">
        <v>18</v>
      </c>
      <c r="I430" s="12">
        <v>43698.48</v>
      </c>
      <c r="J430" s="4">
        <v>0</v>
      </c>
      <c r="K430" s="2" t="s">
        <v>19</v>
      </c>
      <c r="L430" s="2" t="s">
        <v>20</v>
      </c>
      <c r="M430" s="17" t="str">
        <f t="shared" si="18"/>
        <v>0</v>
      </c>
      <c r="N430" s="15">
        <f t="shared" si="19"/>
        <v>43698.48</v>
      </c>
      <c r="O430" t="str">
        <f t="shared" si="20"/>
        <v>Yes</v>
      </c>
    </row>
    <row r="431" spans="1:15" x14ac:dyDescent="0.3">
      <c r="A431" s="5" t="s">
        <v>539</v>
      </c>
      <c r="B431" s="6">
        <v>45533</v>
      </c>
      <c r="C431" s="5" t="s">
        <v>485</v>
      </c>
      <c r="D431" s="5" t="s">
        <v>14</v>
      </c>
      <c r="E431" s="5" t="s">
        <v>44</v>
      </c>
      <c r="F431" s="5" t="s">
        <v>45</v>
      </c>
      <c r="G431" s="5" t="s">
        <v>46</v>
      </c>
      <c r="H431" s="5" t="s">
        <v>37</v>
      </c>
      <c r="I431" s="14">
        <v>19148.91</v>
      </c>
      <c r="J431" s="7">
        <v>15000</v>
      </c>
      <c r="K431" s="5" t="s">
        <v>47</v>
      </c>
      <c r="L431" s="5" t="s">
        <v>20</v>
      </c>
      <c r="M431" s="17">
        <f t="shared" si="18"/>
        <v>4148.91</v>
      </c>
      <c r="N431" s="15">
        <f t="shared" si="19"/>
        <v>-19148.91</v>
      </c>
      <c r="O431" t="str">
        <f t="shared" si="20"/>
        <v>Yes</v>
      </c>
    </row>
    <row r="432" spans="1:15" x14ac:dyDescent="0.3">
      <c r="A432" s="2" t="s">
        <v>540</v>
      </c>
      <c r="B432" s="3">
        <v>45533</v>
      </c>
      <c r="C432" s="2" t="s">
        <v>485</v>
      </c>
      <c r="D432" s="2" t="s">
        <v>14</v>
      </c>
      <c r="E432" s="2" t="s">
        <v>104</v>
      </c>
      <c r="F432" s="2" t="s">
        <v>105</v>
      </c>
      <c r="G432" s="2" t="s">
        <v>106</v>
      </c>
      <c r="H432" s="2" t="s">
        <v>37</v>
      </c>
      <c r="I432" s="12">
        <v>1898.35</v>
      </c>
      <c r="J432" s="4">
        <v>2000</v>
      </c>
      <c r="K432" s="2" t="s">
        <v>19</v>
      </c>
      <c r="L432" s="2" t="s">
        <v>20</v>
      </c>
      <c r="M432" s="17">
        <f t="shared" si="18"/>
        <v>-101.65000000000009</v>
      </c>
      <c r="N432" s="15">
        <f t="shared" si="19"/>
        <v>-1898.35</v>
      </c>
      <c r="O432" t="str">
        <f t="shared" si="20"/>
        <v>No</v>
      </c>
    </row>
    <row r="433" spans="1:15" x14ac:dyDescent="0.3">
      <c r="A433" s="5" t="s">
        <v>541</v>
      </c>
      <c r="B433" s="6">
        <v>45534</v>
      </c>
      <c r="C433" s="5" t="s">
        <v>485</v>
      </c>
      <c r="D433" s="5" t="s">
        <v>14</v>
      </c>
      <c r="E433" s="5" t="s">
        <v>104</v>
      </c>
      <c r="F433" s="5" t="s">
        <v>184</v>
      </c>
      <c r="G433" s="5" t="s">
        <v>185</v>
      </c>
      <c r="H433" s="5" t="s">
        <v>32</v>
      </c>
      <c r="I433" s="14">
        <v>1731.16</v>
      </c>
      <c r="J433" s="7">
        <v>2000</v>
      </c>
      <c r="K433" s="5" t="s">
        <v>47</v>
      </c>
      <c r="L433" s="5" t="s">
        <v>27</v>
      </c>
      <c r="M433" s="17">
        <f t="shared" si="18"/>
        <v>-268.83999999999992</v>
      </c>
      <c r="N433" s="15">
        <f t="shared" si="19"/>
        <v>-1731.16</v>
      </c>
      <c r="O433" t="str">
        <f t="shared" si="20"/>
        <v>No</v>
      </c>
    </row>
    <row r="434" spans="1:15" x14ac:dyDescent="0.3">
      <c r="A434" s="2" t="s">
        <v>542</v>
      </c>
      <c r="B434" s="3">
        <v>45534</v>
      </c>
      <c r="C434" s="2" t="s">
        <v>485</v>
      </c>
      <c r="D434" s="2" t="s">
        <v>14</v>
      </c>
      <c r="E434" s="2" t="s">
        <v>49</v>
      </c>
      <c r="F434" s="2" t="s">
        <v>77</v>
      </c>
      <c r="G434" s="2" t="s">
        <v>78</v>
      </c>
      <c r="H434" s="2" t="s">
        <v>37</v>
      </c>
      <c r="I434" s="12">
        <v>3475.28</v>
      </c>
      <c r="J434" s="4">
        <v>3500</v>
      </c>
      <c r="K434" s="2" t="s">
        <v>26</v>
      </c>
      <c r="L434" s="2" t="s">
        <v>27</v>
      </c>
      <c r="M434" s="17">
        <f t="shared" si="18"/>
        <v>-24.7199999999998</v>
      </c>
      <c r="N434" s="15">
        <f t="shared" si="19"/>
        <v>-3475.28</v>
      </c>
      <c r="O434" t="str">
        <f t="shared" si="20"/>
        <v>No</v>
      </c>
    </row>
    <row r="435" spans="1:15" x14ac:dyDescent="0.3">
      <c r="A435" s="5" t="s">
        <v>543</v>
      </c>
      <c r="B435" s="6">
        <v>45535</v>
      </c>
      <c r="C435" s="5" t="s">
        <v>485</v>
      </c>
      <c r="D435" s="5" t="s">
        <v>14</v>
      </c>
      <c r="E435" s="5" t="s">
        <v>29</v>
      </c>
      <c r="F435" s="5" t="s">
        <v>109</v>
      </c>
      <c r="G435" s="5" t="s">
        <v>110</v>
      </c>
      <c r="H435" s="5" t="s">
        <v>18</v>
      </c>
      <c r="I435" s="14">
        <v>1880.01</v>
      </c>
      <c r="J435" s="7">
        <v>3000</v>
      </c>
      <c r="K435" s="5" t="s">
        <v>19</v>
      </c>
      <c r="L435" s="5" t="s">
        <v>20</v>
      </c>
      <c r="M435" s="17">
        <f t="shared" si="18"/>
        <v>-1119.99</v>
      </c>
      <c r="N435" s="15">
        <f t="shared" si="19"/>
        <v>-1880.01</v>
      </c>
      <c r="O435" t="str">
        <f t="shared" si="20"/>
        <v>No</v>
      </c>
    </row>
    <row r="436" spans="1:15" x14ac:dyDescent="0.3">
      <c r="A436" s="2" t="s">
        <v>544</v>
      </c>
      <c r="B436" s="3">
        <v>45535</v>
      </c>
      <c r="C436" s="2" t="s">
        <v>485</v>
      </c>
      <c r="D436" s="2" t="s">
        <v>14</v>
      </c>
      <c r="E436" s="2" t="s">
        <v>29</v>
      </c>
      <c r="F436" s="2" t="s">
        <v>80</v>
      </c>
      <c r="G436" s="2" t="s">
        <v>81</v>
      </c>
      <c r="H436" s="2" t="s">
        <v>18</v>
      </c>
      <c r="I436" s="12">
        <v>3594.41</v>
      </c>
      <c r="J436" s="4">
        <v>3000</v>
      </c>
      <c r="K436" s="2" t="s">
        <v>47</v>
      </c>
      <c r="L436" s="2" t="s">
        <v>20</v>
      </c>
      <c r="M436" s="17">
        <f t="shared" si="18"/>
        <v>594.40999999999985</v>
      </c>
      <c r="N436" s="15">
        <f t="shared" si="19"/>
        <v>-3594.41</v>
      </c>
      <c r="O436" t="str">
        <f t="shared" si="20"/>
        <v>Yes</v>
      </c>
    </row>
    <row r="437" spans="1:15" x14ac:dyDescent="0.3">
      <c r="A437" s="5" t="s">
        <v>545</v>
      </c>
      <c r="B437" s="6">
        <v>45537</v>
      </c>
      <c r="C437" s="5" t="s">
        <v>546</v>
      </c>
      <c r="D437" s="5" t="s">
        <v>14</v>
      </c>
      <c r="E437" s="5" t="s">
        <v>15</v>
      </c>
      <c r="F437" s="5" t="s">
        <v>60</v>
      </c>
      <c r="G437" s="5" t="s">
        <v>61</v>
      </c>
      <c r="H437" s="5" t="s">
        <v>18</v>
      </c>
      <c r="I437" s="14">
        <v>8726.1299999999992</v>
      </c>
      <c r="J437" s="7">
        <v>12000</v>
      </c>
      <c r="K437" s="5" t="s">
        <v>38</v>
      </c>
      <c r="L437" s="5" t="s">
        <v>20</v>
      </c>
      <c r="M437" s="17">
        <f t="shared" si="18"/>
        <v>-3273.8700000000008</v>
      </c>
      <c r="N437" s="15">
        <f t="shared" si="19"/>
        <v>-8726.1299999999992</v>
      </c>
      <c r="O437" t="str">
        <f t="shared" si="20"/>
        <v>No</v>
      </c>
    </row>
    <row r="438" spans="1:15" x14ac:dyDescent="0.3">
      <c r="A438" s="2" t="s">
        <v>547</v>
      </c>
      <c r="B438" s="3">
        <v>45538</v>
      </c>
      <c r="C438" s="2" t="s">
        <v>546</v>
      </c>
      <c r="D438" s="2" t="s">
        <v>14</v>
      </c>
      <c r="E438" s="2" t="s">
        <v>44</v>
      </c>
      <c r="F438" s="2" t="s">
        <v>45</v>
      </c>
      <c r="G438" s="2" t="s">
        <v>46</v>
      </c>
      <c r="H438" s="2" t="s">
        <v>18</v>
      </c>
      <c r="I438" s="12">
        <v>13851.43</v>
      </c>
      <c r="J438" s="4">
        <v>15000</v>
      </c>
      <c r="K438" s="2" t="s">
        <v>19</v>
      </c>
      <c r="L438" s="2" t="s">
        <v>20</v>
      </c>
      <c r="M438" s="17">
        <f t="shared" si="18"/>
        <v>-1148.5699999999997</v>
      </c>
      <c r="N438" s="15">
        <f t="shared" si="19"/>
        <v>-13851.43</v>
      </c>
      <c r="O438" t="str">
        <f t="shared" si="20"/>
        <v>No</v>
      </c>
    </row>
    <row r="439" spans="1:15" x14ac:dyDescent="0.3">
      <c r="A439" s="5" t="s">
        <v>548</v>
      </c>
      <c r="B439" s="6">
        <v>45538</v>
      </c>
      <c r="C439" s="5" t="s">
        <v>546</v>
      </c>
      <c r="D439" s="5" t="s">
        <v>14</v>
      </c>
      <c r="E439" s="5" t="s">
        <v>34</v>
      </c>
      <c r="F439" s="5" t="s">
        <v>157</v>
      </c>
      <c r="G439" s="5" t="s">
        <v>158</v>
      </c>
      <c r="H439" s="5" t="s">
        <v>18</v>
      </c>
      <c r="I439" s="14">
        <v>5057.58</v>
      </c>
      <c r="J439" s="7">
        <v>4000</v>
      </c>
      <c r="K439" s="5" t="s">
        <v>38</v>
      </c>
      <c r="L439" s="5" t="s">
        <v>27</v>
      </c>
      <c r="M439" s="17">
        <f t="shared" si="18"/>
        <v>1057.58</v>
      </c>
      <c r="N439" s="15">
        <f t="shared" si="19"/>
        <v>-5057.58</v>
      </c>
      <c r="O439" t="str">
        <f t="shared" si="20"/>
        <v>Yes</v>
      </c>
    </row>
    <row r="440" spans="1:15" x14ac:dyDescent="0.3">
      <c r="A440" s="2" t="s">
        <v>549</v>
      </c>
      <c r="B440" s="3">
        <v>45538</v>
      </c>
      <c r="C440" s="2" t="s">
        <v>546</v>
      </c>
      <c r="D440" s="2" t="s">
        <v>14</v>
      </c>
      <c r="E440" s="2" t="s">
        <v>40</v>
      </c>
      <c r="F440" s="2" t="s">
        <v>41</v>
      </c>
      <c r="G440" s="2" t="s">
        <v>42</v>
      </c>
      <c r="H440" s="2" t="s">
        <v>37</v>
      </c>
      <c r="I440" s="12">
        <v>6297.53</v>
      </c>
      <c r="J440" s="4">
        <v>6000</v>
      </c>
      <c r="K440" s="2" t="s">
        <v>38</v>
      </c>
      <c r="L440" s="2" t="s">
        <v>27</v>
      </c>
      <c r="M440" s="17">
        <f t="shared" si="18"/>
        <v>297.52999999999975</v>
      </c>
      <c r="N440" s="15">
        <f t="shared" si="19"/>
        <v>-6297.53</v>
      </c>
      <c r="O440" t="str">
        <f t="shared" si="20"/>
        <v>Yes</v>
      </c>
    </row>
    <row r="441" spans="1:15" x14ac:dyDescent="0.3">
      <c r="A441" s="5" t="s">
        <v>550</v>
      </c>
      <c r="B441" s="6">
        <v>45538</v>
      </c>
      <c r="C441" s="5" t="s">
        <v>546</v>
      </c>
      <c r="D441" s="5" t="s">
        <v>14</v>
      </c>
      <c r="E441" s="5" t="s">
        <v>40</v>
      </c>
      <c r="F441" s="5" t="s">
        <v>41</v>
      </c>
      <c r="G441" s="5" t="s">
        <v>42</v>
      </c>
      <c r="H441" s="5" t="s">
        <v>52</v>
      </c>
      <c r="I441" s="14">
        <v>3311.08</v>
      </c>
      <c r="J441" s="7">
        <v>6000</v>
      </c>
      <c r="K441" s="5" t="s">
        <v>19</v>
      </c>
      <c r="L441" s="5" t="s">
        <v>27</v>
      </c>
      <c r="M441" s="17">
        <f t="shared" si="18"/>
        <v>-2688.92</v>
      </c>
      <c r="N441" s="15">
        <f t="shared" si="19"/>
        <v>-3311.08</v>
      </c>
      <c r="O441" t="str">
        <f t="shared" si="20"/>
        <v>No</v>
      </c>
    </row>
    <row r="442" spans="1:15" x14ac:dyDescent="0.3">
      <c r="A442" s="2" t="s">
        <v>551</v>
      </c>
      <c r="B442" s="3">
        <v>45539</v>
      </c>
      <c r="C442" s="2" t="s">
        <v>546</v>
      </c>
      <c r="D442" s="2" t="s">
        <v>14</v>
      </c>
      <c r="E442" s="2" t="s">
        <v>22</v>
      </c>
      <c r="F442" s="2" t="s">
        <v>66</v>
      </c>
      <c r="G442" s="2" t="s">
        <v>67</v>
      </c>
      <c r="H442" s="2" t="s">
        <v>18</v>
      </c>
      <c r="I442" s="12">
        <v>2090.5100000000002</v>
      </c>
      <c r="J442" s="4">
        <v>2500</v>
      </c>
      <c r="K442" s="2" t="s">
        <v>19</v>
      </c>
      <c r="L442" s="2" t="s">
        <v>27</v>
      </c>
      <c r="M442" s="17">
        <f t="shared" si="18"/>
        <v>-409.48999999999978</v>
      </c>
      <c r="N442" s="15">
        <f t="shared" si="19"/>
        <v>-2090.5100000000002</v>
      </c>
      <c r="O442" t="str">
        <f t="shared" si="20"/>
        <v>No</v>
      </c>
    </row>
    <row r="443" spans="1:15" x14ac:dyDescent="0.3">
      <c r="A443" s="5" t="s">
        <v>552</v>
      </c>
      <c r="B443" s="6">
        <v>45539</v>
      </c>
      <c r="C443" s="5" t="s">
        <v>546</v>
      </c>
      <c r="D443" s="5" t="s">
        <v>14</v>
      </c>
      <c r="E443" s="5" t="s">
        <v>40</v>
      </c>
      <c r="F443" s="5" t="s">
        <v>41</v>
      </c>
      <c r="G443" s="5" t="s">
        <v>42</v>
      </c>
      <c r="H443" s="5" t="s">
        <v>18</v>
      </c>
      <c r="I443" s="14">
        <v>3965.94</v>
      </c>
      <c r="J443" s="7">
        <v>6000</v>
      </c>
      <c r="K443" s="5" t="s">
        <v>26</v>
      </c>
      <c r="L443" s="5" t="s">
        <v>20</v>
      </c>
      <c r="M443" s="17">
        <f t="shared" si="18"/>
        <v>-2034.06</v>
      </c>
      <c r="N443" s="15">
        <f t="shared" si="19"/>
        <v>-3965.94</v>
      </c>
      <c r="O443" t="str">
        <f t="shared" si="20"/>
        <v>No</v>
      </c>
    </row>
    <row r="444" spans="1:15" x14ac:dyDescent="0.3">
      <c r="A444" s="2" t="s">
        <v>553</v>
      </c>
      <c r="B444" s="3">
        <v>45540</v>
      </c>
      <c r="C444" s="2" t="s">
        <v>546</v>
      </c>
      <c r="D444" s="2" t="s">
        <v>14</v>
      </c>
      <c r="E444" s="2" t="s">
        <v>44</v>
      </c>
      <c r="F444" s="2" t="s">
        <v>45</v>
      </c>
      <c r="G444" s="2" t="s">
        <v>46</v>
      </c>
      <c r="H444" s="2" t="s">
        <v>32</v>
      </c>
      <c r="I444" s="12">
        <v>19350.89</v>
      </c>
      <c r="J444" s="4">
        <v>15000</v>
      </c>
      <c r="K444" s="2" t="s">
        <v>19</v>
      </c>
      <c r="L444" s="2" t="s">
        <v>20</v>
      </c>
      <c r="M444" s="17">
        <f t="shared" si="18"/>
        <v>4350.8899999999994</v>
      </c>
      <c r="N444" s="15">
        <f t="shared" si="19"/>
        <v>-19350.89</v>
      </c>
      <c r="O444" t="str">
        <f t="shared" si="20"/>
        <v>Yes</v>
      </c>
    </row>
    <row r="445" spans="1:15" x14ac:dyDescent="0.3">
      <c r="A445" s="5" t="s">
        <v>554</v>
      </c>
      <c r="B445" s="6">
        <v>45541</v>
      </c>
      <c r="C445" s="5" t="s">
        <v>546</v>
      </c>
      <c r="D445" s="5" t="s">
        <v>14</v>
      </c>
      <c r="E445" s="5" t="s">
        <v>49</v>
      </c>
      <c r="F445" s="5" t="s">
        <v>180</v>
      </c>
      <c r="G445" s="5" t="s">
        <v>181</v>
      </c>
      <c r="H445" s="5" t="s">
        <v>18</v>
      </c>
      <c r="I445" s="14">
        <v>4232.12</v>
      </c>
      <c r="J445" s="7">
        <v>3500</v>
      </c>
      <c r="K445" s="5" t="s">
        <v>47</v>
      </c>
      <c r="L445" s="5" t="s">
        <v>27</v>
      </c>
      <c r="M445" s="17">
        <f t="shared" si="18"/>
        <v>732.11999999999989</v>
      </c>
      <c r="N445" s="15">
        <f t="shared" si="19"/>
        <v>-4232.12</v>
      </c>
      <c r="O445" t="str">
        <f t="shared" si="20"/>
        <v>Yes</v>
      </c>
    </row>
    <row r="446" spans="1:15" x14ac:dyDescent="0.3">
      <c r="A446" s="2" t="s">
        <v>555</v>
      </c>
      <c r="B446" s="3">
        <v>45541</v>
      </c>
      <c r="C446" s="2" t="s">
        <v>546</v>
      </c>
      <c r="D446" s="2" t="s">
        <v>14</v>
      </c>
      <c r="E446" s="2" t="s">
        <v>44</v>
      </c>
      <c r="F446" s="2" t="s">
        <v>45</v>
      </c>
      <c r="G446" s="2" t="s">
        <v>46</v>
      </c>
      <c r="H446" s="2" t="s">
        <v>37</v>
      </c>
      <c r="I446" s="12">
        <v>18754.72</v>
      </c>
      <c r="J446" s="4">
        <v>15000</v>
      </c>
      <c r="K446" s="2" t="s">
        <v>38</v>
      </c>
      <c r="L446" s="2" t="s">
        <v>20</v>
      </c>
      <c r="M446" s="17">
        <f t="shared" si="18"/>
        <v>3754.7200000000012</v>
      </c>
      <c r="N446" s="15">
        <f t="shared" si="19"/>
        <v>-18754.72</v>
      </c>
      <c r="O446" t="str">
        <f t="shared" si="20"/>
        <v>Yes</v>
      </c>
    </row>
    <row r="447" spans="1:15" x14ac:dyDescent="0.3">
      <c r="A447" s="5" t="s">
        <v>556</v>
      </c>
      <c r="B447" s="6">
        <v>45542</v>
      </c>
      <c r="C447" s="5" t="s">
        <v>546</v>
      </c>
      <c r="D447" s="5" t="s">
        <v>14</v>
      </c>
      <c r="E447" s="5" t="s">
        <v>40</v>
      </c>
      <c r="F447" s="5" t="s">
        <v>41</v>
      </c>
      <c r="G447" s="5" t="s">
        <v>42</v>
      </c>
      <c r="H447" s="5" t="s">
        <v>37</v>
      </c>
      <c r="I447" s="14">
        <v>3849.11</v>
      </c>
      <c r="J447" s="7">
        <v>6000</v>
      </c>
      <c r="K447" s="5" t="s">
        <v>38</v>
      </c>
      <c r="L447" s="5" t="s">
        <v>27</v>
      </c>
      <c r="M447" s="17">
        <f t="shared" si="18"/>
        <v>-2150.89</v>
      </c>
      <c r="N447" s="15">
        <f t="shared" si="19"/>
        <v>-3849.11</v>
      </c>
      <c r="O447" t="str">
        <f t="shared" si="20"/>
        <v>No</v>
      </c>
    </row>
    <row r="448" spans="1:15" x14ac:dyDescent="0.3">
      <c r="A448" s="2" t="s">
        <v>557</v>
      </c>
      <c r="B448" s="3">
        <v>45542</v>
      </c>
      <c r="C448" s="2" t="s">
        <v>546</v>
      </c>
      <c r="D448" s="2" t="s">
        <v>14</v>
      </c>
      <c r="E448" s="2" t="s">
        <v>44</v>
      </c>
      <c r="F448" s="2" t="s">
        <v>45</v>
      </c>
      <c r="G448" s="2" t="s">
        <v>46</v>
      </c>
      <c r="H448" s="2" t="s">
        <v>18</v>
      </c>
      <c r="I448" s="12">
        <v>15378.75</v>
      </c>
      <c r="J448" s="4">
        <v>15000</v>
      </c>
      <c r="K448" s="2" t="s">
        <v>38</v>
      </c>
      <c r="L448" s="2" t="s">
        <v>20</v>
      </c>
      <c r="M448" s="17">
        <f t="shared" si="18"/>
        <v>378.75</v>
      </c>
      <c r="N448" s="15">
        <f t="shared" si="19"/>
        <v>-15378.75</v>
      </c>
      <c r="O448" t="str">
        <f t="shared" si="20"/>
        <v>Yes</v>
      </c>
    </row>
    <row r="449" spans="1:15" x14ac:dyDescent="0.3">
      <c r="A449" s="5" t="s">
        <v>558</v>
      </c>
      <c r="B449" s="6">
        <v>45545</v>
      </c>
      <c r="C449" s="5" t="s">
        <v>546</v>
      </c>
      <c r="D449" s="5" t="s">
        <v>14</v>
      </c>
      <c r="E449" s="5" t="s">
        <v>40</v>
      </c>
      <c r="F449" s="5" t="s">
        <v>97</v>
      </c>
      <c r="G449" s="5" t="s">
        <v>98</v>
      </c>
      <c r="H449" s="5" t="s">
        <v>52</v>
      </c>
      <c r="I449" s="14">
        <v>3258.69</v>
      </c>
      <c r="J449" s="7">
        <v>6000</v>
      </c>
      <c r="K449" s="5" t="s">
        <v>47</v>
      </c>
      <c r="L449" s="5" t="s">
        <v>20</v>
      </c>
      <c r="M449" s="17">
        <f t="shared" si="18"/>
        <v>-2741.31</v>
      </c>
      <c r="N449" s="15">
        <f t="shared" si="19"/>
        <v>-3258.69</v>
      </c>
      <c r="O449" t="str">
        <f t="shared" si="20"/>
        <v>No</v>
      </c>
    </row>
    <row r="450" spans="1:15" x14ac:dyDescent="0.3">
      <c r="A450" s="2" t="s">
        <v>559</v>
      </c>
      <c r="B450" s="3">
        <v>45546</v>
      </c>
      <c r="C450" s="2" t="s">
        <v>546</v>
      </c>
      <c r="D450" s="2" t="s">
        <v>14</v>
      </c>
      <c r="E450" s="2" t="s">
        <v>29</v>
      </c>
      <c r="F450" s="2" t="s">
        <v>30</v>
      </c>
      <c r="G450" s="2" t="s">
        <v>31</v>
      </c>
      <c r="H450" s="2" t="s">
        <v>25</v>
      </c>
      <c r="I450" s="12">
        <v>1558.01</v>
      </c>
      <c r="J450" s="4">
        <v>3000</v>
      </c>
      <c r="K450" s="2" t="s">
        <v>26</v>
      </c>
      <c r="L450" s="2" t="s">
        <v>20</v>
      </c>
      <c r="M450" s="17">
        <f t="shared" si="18"/>
        <v>-1441.99</v>
      </c>
      <c r="N450" s="15">
        <f t="shared" si="19"/>
        <v>-1558.01</v>
      </c>
      <c r="O450" t="str">
        <f t="shared" si="20"/>
        <v>No</v>
      </c>
    </row>
    <row r="451" spans="1:15" x14ac:dyDescent="0.3">
      <c r="A451" s="5" t="s">
        <v>560</v>
      </c>
      <c r="B451" s="6">
        <v>45546</v>
      </c>
      <c r="C451" s="5" t="s">
        <v>546</v>
      </c>
      <c r="D451" s="5" t="s">
        <v>54</v>
      </c>
      <c r="E451" s="5" t="s">
        <v>55</v>
      </c>
      <c r="F451" s="5" t="s">
        <v>56</v>
      </c>
      <c r="G451" s="5" t="s">
        <v>57</v>
      </c>
      <c r="H451" s="5" t="s">
        <v>25</v>
      </c>
      <c r="I451" s="14">
        <v>51775.96</v>
      </c>
      <c r="J451" s="7">
        <v>0</v>
      </c>
      <c r="K451" s="5" t="s">
        <v>26</v>
      </c>
      <c r="L451" s="5" t="s">
        <v>20</v>
      </c>
      <c r="M451" s="17" t="str">
        <f t="shared" ref="M451:M514" si="21">IF(J451=0,"0",I451-J451)</f>
        <v>0</v>
      </c>
      <c r="N451" s="15">
        <f t="shared" ref="N451:N514" si="22">IF(D451="Income",I451,-I451)</f>
        <v>51775.96</v>
      </c>
      <c r="O451" t="str">
        <f t="shared" ref="O451:O514" si="23">IF(M451&gt;0,"Yes","No")</f>
        <v>Yes</v>
      </c>
    </row>
    <row r="452" spans="1:15" x14ac:dyDescent="0.3">
      <c r="A452" s="2" t="s">
        <v>561</v>
      </c>
      <c r="B452" s="3">
        <v>45547</v>
      </c>
      <c r="C452" s="2" t="s">
        <v>546</v>
      </c>
      <c r="D452" s="2" t="s">
        <v>14</v>
      </c>
      <c r="E452" s="2" t="s">
        <v>112</v>
      </c>
      <c r="F452" s="2" t="s">
        <v>193</v>
      </c>
      <c r="G452" s="2" t="s">
        <v>194</v>
      </c>
      <c r="H452" s="2" t="s">
        <v>37</v>
      </c>
      <c r="I452" s="12">
        <v>8284.18</v>
      </c>
      <c r="J452" s="4">
        <v>8000</v>
      </c>
      <c r="K452" s="2" t="s">
        <v>47</v>
      </c>
      <c r="L452" s="2" t="s">
        <v>20</v>
      </c>
      <c r="M452" s="17">
        <f t="shared" si="21"/>
        <v>284.18000000000029</v>
      </c>
      <c r="N452" s="15">
        <f t="shared" si="22"/>
        <v>-8284.18</v>
      </c>
      <c r="O452" t="str">
        <f t="shared" si="23"/>
        <v>Yes</v>
      </c>
    </row>
    <row r="453" spans="1:15" x14ac:dyDescent="0.3">
      <c r="A453" s="5" t="s">
        <v>562</v>
      </c>
      <c r="B453" s="6">
        <v>45548</v>
      </c>
      <c r="C453" s="5" t="s">
        <v>546</v>
      </c>
      <c r="D453" s="5" t="s">
        <v>14</v>
      </c>
      <c r="E453" s="5" t="s">
        <v>44</v>
      </c>
      <c r="F453" s="5" t="s">
        <v>45</v>
      </c>
      <c r="G453" s="5" t="s">
        <v>46</v>
      </c>
      <c r="H453" s="5" t="s">
        <v>25</v>
      </c>
      <c r="I453" s="14">
        <v>12135.99</v>
      </c>
      <c r="J453" s="7">
        <v>15000</v>
      </c>
      <c r="K453" s="5" t="s">
        <v>38</v>
      </c>
      <c r="L453" s="5" t="s">
        <v>20</v>
      </c>
      <c r="M453" s="17">
        <f t="shared" si="21"/>
        <v>-2864.01</v>
      </c>
      <c r="N453" s="15">
        <f t="shared" si="22"/>
        <v>-12135.99</v>
      </c>
      <c r="O453" t="str">
        <f t="shared" si="23"/>
        <v>No</v>
      </c>
    </row>
    <row r="454" spans="1:15" x14ac:dyDescent="0.3">
      <c r="A454" s="2" t="s">
        <v>563</v>
      </c>
      <c r="B454" s="3">
        <v>45550</v>
      </c>
      <c r="C454" s="2" t="s">
        <v>546</v>
      </c>
      <c r="D454" s="2" t="s">
        <v>14</v>
      </c>
      <c r="E454" s="2" t="s">
        <v>49</v>
      </c>
      <c r="F454" s="2" t="s">
        <v>180</v>
      </c>
      <c r="G454" s="2" t="s">
        <v>181</v>
      </c>
      <c r="H454" s="2" t="s">
        <v>25</v>
      </c>
      <c r="I454" s="12">
        <v>4256.55</v>
      </c>
      <c r="J454" s="4">
        <v>3500</v>
      </c>
      <c r="K454" s="2" t="s">
        <v>26</v>
      </c>
      <c r="L454" s="2" t="s">
        <v>27</v>
      </c>
      <c r="M454" s="17">
        <f t="shared" si="21"/>
        <v>756.55000000000018</v>
      </c>
      <c r="N454" s="15">
        <f t="shared" si="22"/>
        <v>-4256.55</v>
      </c>
      <c r="O454" t="str">
        <f t="shared" si="23"/>
        <v>Yes</v>
      </c>
    </row>
    <row r="455" spans="1:15" x14ac:dyDescent="0.3">
      <c r="A455" s="5" t="s">
        <v>564</v>
      </c>
      <c r="B455" s="6">
        <v>45550</v>
      </c>
      <c r="C455" s="5" t="s">
        <v>546</v>
      </c>
      <c r="D455" s="5" t="s">
        <v>14</v>
      </c>
      <c r="E455" s="5" t="s">
        <v>104</v>
      </c>
      <c r="F455" s="5" t="s">
        <v>105</v>
      </c>
      <c r="G455" s="5" t="s">
        <v>106</v>
      </c>
      <c r="H455" s="5" t="s">
        <v>37</v>
      </c>
      <c r="I455" s="14">
        <v>2245.67</v>
      </c>
      <c r="J455" s="7">
        <v>2000</v>
      </c>
      <c r="K455" s="5" t="s">
        <v>38</v>
      </c>
      <c r="L455" s="5" t="s">
        <v>27</v>
      </c>
      <c r="M455" s="17">
        <f t="shared" si="21"/>
        <v>245.67000000000007</v>
      </c>
      <c r="N455" s="15">
        <f t="shared" si="22"/>
        <v>-2245.67</v>
      </c>
      <c r="O455" t="str">
        <f t="shared" si="23"/>
        <v>Yes</v>
      </c>
    </row>
    <row r="456" spans="1:15" x14ac:dyDescent="0.3">
      <c r="A456" s="2" t="s">
        <v>565</v>
      </c>
      <c r="B456" s="3">
        <v>45551</v>
      </c>
      <c r="C456" s="2" t="s">
        <v>546</v>
      </c>
      <c r="D456" s="2" t="s">
        <v>54</v>
      </c>
      <c r="E456" s="2" t="s">
        <v>55</v>
      </c>
      <c r="F456" s="2" t="s">
        <v>56</v>
      </c>
      <c r="G456" s="2" t="s">
        <v>57</v>
      </c>
      <c r="H456" s="2" t="s">
        <v>18</v>
      </c>
      <c r="I456" s="12">
        <v>50418.51</v>
      </c>
      <c r="J456" s="4">
        <v>0</v>
      </c>
      <c r="K456" s="2" t="s">
        <v>26</v>
      </c>
      <c r="L456" s="2" t="s">
        <v>20</v>
      </c>
      <c r="M456" s="17" t="str">
        <f t="shared" si="21"/>
        <v>0</v>
      </c>
      <c r="N456" s="15">
        <f t="shared" si="22"/>
        <v>50418.51</v>
      </c>
      <c r="O456" t="str">
        <f t="shared" si="23"/>
        <v>Yes</v>
      </c>
    </row>
    <row r="457" spans="1:15" x14ac:dyDescent="0.3">
      <c r="A457" s="5" t="s">
        <v>566</v>
      </c>
      <c r="B457" s="6">
        <v>45552</v>
      </c>
      <c r="C457" s="5" t="s">
        <v>546</v>
      </c>
      <c r="D457" s="5" t="s">
        <v>54</v>
      </c>
      <c r="E457" s="5" t="s">
        <v>55</v>
      </c>
      <c r="F457" s="5" t="s">
        <v>56</v>
      </c>
      <c r="G457" s="5" t="s">
        <v>57</v>
      </c>
      <c r="H457" s="5" t="s">
        <v>25</v>
      </c>
      <c r="I457" s="14">
        <v>50513.55</v>
      </c>
      <c r="J457" s="7">
        <v>0</v>
      </c>
      <c r="K457" s="5" t="s">
        <v>26</v>
      </c>
      <c r="L457" s="5" t="s">
        <v>20</v>
      </c>
      <c r="M457" s="17" t="str">
        <f t="shared" si="21"/>
        <v>0</v>
      </c>
      <c r="N457" s="15">
        <f t="shared" si="22"/>
        <v>50513.55</v>
      </c>
      <c r="O457" t="str">
        <f t="shared" si="23"/>
        <v>Yes</v>
      </c>
    </row>
    <row r="458" spans="1:15" x14ac:dyDescent="0.3">
      <c r="A458" s="2" t="s">
        <v>567</v>
      </c>
      <c r="B458" s="3">
        <v>45552</v>
      </c>
      <c r="C458" s="2" t="s">
        <v>546</v>
      </c>
      <c r="D458" s="2" t="s">
        <v>14</v>
      </c>
      <c r="E458" s="2" t="s">
        <v>15</v>
      </c>
      <c r="F458" s="2" t="s">
        <v>60</v>
      </c>
      <c r="G458" s="2" t="s">
        <v>61</v>
      </c>
      <c r="H458" s="2" t="s">
        <v>18</v>
      </c>
      <c r="I458" s="12">
        <v>11912.66</v>
      </c>
      <c r="J458" s="4">
        <v>12000</v>
      </c>
      <c r="K458" s="2" t="s">
        <v>47</v>
      </c>
      <c r="L458" s="2" t="s">
        <v>20</v>
      </c>
      <c r="M458" s="17">
        <f t="shared" si="21"/>
        <v>-87.340000000000146</v>
      </c>
      <c r="N458" s="15">
        <f t="shared" si="22"/>
        <v>-11912.66</v>
      </c>
      <c r="O458" t="str">
        <f t="shared" si="23"/>
        <v>No</v>
      </c>
    </row>
    <row r="459" spans="1:15" x14ac:dyDescent="0.3">
      <c r="A459" s="5" t="s">
        <v>568</v>
      </c>
      <c r="B459" s="6">
        <v>45552</v>
      </c>
      <c r="C459" s="5" t="s">
        <v>546</v>
      </c>
      <c r="D459" s="5" t="s">
        <v>14</v>
      </c>
      <c r="E459" s="5" t="s">
        <v>40</v>
      </c>
      <c r="F459" s="5" t="s">
        <v>41</v>
      </c>
      <c r="G459" s="5" t="s">
        <v>42</v>
      </c>
      <c r="H459" s="5" t="s">
        <v>37</v>
      </c>
      <c r="I459" s="14">
        <v>3816.03</v>
      </c>
      <c r="J459" s="7">
        <v>6000</v>
      </c>
      <c r="K459" s="5" t="s">
        <v>47</v>
      </c>
      <c r="L459" s="5" t="s">
        <v>27</v>
      </c>
      <c r="M459" s="17">
        <f t="shared" si="21"/>
        <v>-2183.9699999999998</v>
      </c>
      <c r="N459" s="15">
        <f t="shared" si="22"/>
        <v>-3816.03</v>
      </c>
      <c r="O459" t="str">
        <f t="shared" si="23"/>
        <v>No</v>
      </c>
    </row>
    <row r="460" spans="1:15" x14ac:dyDescent="0.3">
      <c r="A460" s="2" t="s">
        <v>569</v>
      </c>
      <c r="B460" s="3">
        <v>45553</v>
      </c>
      <c r="C460" s="2" t="s">
        <v>546</v>
      </c>
      <c r="D460" s="2" t="s">
        <v>14</v>
      </c>
      <c r="E460" s="2" t="s">
        <v>49</v>
      </c>
      <c r="F460" s="2" t="s">
        <v>180</v>
      </c>
      <c r="G460" s="2" t="s">
        <v>181</v>
      </c>
      <c r="H460" s="2" t="s">
        <v>18</v>
      </c>
      <c r="I460" s="12">
        <v>2512.19</v>
      </c>
      <c r="J460" s="4">
        <v>3500</v>
      </c>
      <c r="K460" s="2" t="s">
        <v>47</v>
      </c>
      <c r="L460" s="2" t="s">
        <v>27</v>
      </c>
      <c r="M460" s="17">
        <f t="shared" si="21"/>
        <v>-987.81</v>
      </c>
      <c r="N460" s="15">
        <f t="shared" si="22"/>
        <v>-2512.19</v>
      </c>
      <c r="O460" t="str">
        <f t="shared" si="23"/>
        <v>No</v>
      </c>
    </row>
    <row r="461" spans="1:15" x14ac:dyDescent="0.3">
      <c r="A461" s="5" t="s">
        <v>570</v>
      </c>
      <c r="B461" s="6">
        <v>45553</v>
      </c>
      <c r="C461" s="5" t="s">
        <v>546</v>
      </c>
      <c r="D461" s="5" t="s">
        <v>14</v>
      </c>
      <c r="E461" s="5" t="s">
        <v>40</v>
      </c>
      <c r="F461" s="5" t="s">
        <v>41</v>
      </c>
      <c r="G461" s="5" t="s">
        <v>42</v>
      </c>
      <c r="H461" s="5" t="s">
        <v>18</v>
      </c>
      <c r="I461" s="14">
        <v>6962.64</v>
      </c>
      <c r="J461" s="7">
        <v>6000</v>
      </c>
      <c r="K461" s="5" t="s">
        <v>19</v>
      </c>
      <c r="L461" s="5" t="s">
        <v>27</v>
      </c>
      <c r="M461" s="17">
        <f t="shared" si="21"/>
        <v>962.64000000000033</v>
      </c>
      <c r="N461" s="15">
        <f t="shared" si="22"/>
        <v>-6962.64</v>
      </c>
      <c r="O461" t="str">
        <f t="shared" si="23"/>
        <v>Yes</v>
      </c>
    </row>
    <row r="462" spans="1:15" x14ac:dyDescent="0.3">
      <c r="A462" s="2" t="s">
        <v>571</v>
      </c>
      <c r="B462" s="3">
        <v>45554</v>
      </c>
      <c r="C462" s="2" t="s">
        <v>546</v>
      </c>
      <c r="D462" s="2" t="s">
        <v>14</v>
      </c>
      <c r="E462" s="2" t="s">
        <v>40</v>
      </c>
      <c r="F462" s="2" t="s">
        <v>97</v>
      </c>
      <c r="G462" s="2" t="s">
        <v>98</v>
      </c>
      <c r="H462" s="2" t="s">
        <v>37</v>
      </c>
      <c r="I462" s="12">
        <v>6511.55</v>
      </c>
      <c r="J462" s="4">
        <v>6000</v>
      </c>
      <c r="K462" s="2" t="s">
        <v>19</v>
      </c>
      <c r="L462" s="2" t="s">
        <v>27</v>
      </c>
      <c r="M462" s="17">
        <f t="shared" si="21"/>
        <v>511.55000000000018</v>
      </c>
      <c r="N462" s="15">
        <f t="shared" si="22"/>
        <v>-6511.55</v>
      </c>
      <c r="O462" t="str">
        <f t="shared" si="23"/>
        <v>Yes</v>
      </c>
    </row>
    <row r="463" spans="1:15" x14ac:dyDescent="0.3">
      <c r="A463" s="5" t="s">
        <v>572</v>
      </c>
      <c r="B463" s="6">
        <v>45554</v>
      </c>
      <c r="C463" s="5" t="s">
        <v>546</v>
      </c>
      <c r="D463" s="5" t="s">
        <v>14</v>
      </c>
      <c r="E463" s="5" t="s">
        <v>22</v>
      </c>
      <c r="F463" s="5" t="s">
        <v>66</v>
      </c>
      <c r="G463" s="5" t="s">
        <v>67</v>
      </c>
      <c r="H463" s="5" t="s">
        <v>18</v>
      </c>
      <c r="I463" s="14">
        <v>1808.74</v>
      </c>
      <c r="J463" s="7">
        <v>2500</v>
      </c>
      <c r="K463" s="5" t="s">
        <v>19</v>
      </c>
      <c r="L463" s="5" t="s">
        <v>27</v>
      </c>
      <c r="M463" s="17">
        <f t="shared" si="21"/>
        <v>-691.26</v>
      </c>
      <c r="N463" s="15">
        <f t="shared" si="22"/>
        <v>-1808.74</v>
      </c>
      <c r="O463" t="str">
        <f t="shared" si="23"/>
        <v>No</v>
      </c>
    </row>
    <row r="464" spans="1:15" x14ac:dyDescent="0.3">
      <c r="A464" s="2" t="s">
        <v>573</v>
      </c>
      <c r="B464" s="3">
        <v>45555</v>
      </c>
      <c r="C464" s="2" t="s">
        <v>546</v>
      </c>
      <c r="D464" s="2" t="s">
        <v>54</v>
      </c>
      <c r="E464" s="2" t="s">
        <v>55</v>
      </c>
      <c r="F464" s="2" t="s">
        <v>56</v>
      </c>
      <c r="G464" s="2" t="s">
        <v>57</v>
      </c>
      <c r="H464" s="2" t="s">
        <v>18</v>
      </c>
      <c r="I464" s="12">
        <v>48095.5</v>
      </c>
      <c r="J464" s="4">
        <v>0</v>
      </c>
      <c r="K464" s="2" t="s">
        <v>26</v>
      </c>
      <c r="L464" s="2" t="s">
        <v>20</v>
      </c>
      <c r="M464" s="17" t="str">
        <f t="shared" si="21"/>
        <v>0</v>
      </c>
      <c r="N464" s="15">
        <f t="shared" si="22"/>
        <v>48095.5</v>
      </c>
      <c r="O464" t="str">
        <f t="shared" si="23"/>
        <v>Yes</v>
      </c>
    </row>
    <row r="465" spans="1:15" x14ac:dyDescent="0.3">
      <c r="A465" s="5" t="s">
        <v>574</v>
      </c>
      <c r="B465" s="6">
        <v>45555</v>
      </c>
      <c r="C465" s="5" t="s">
        <v>546</v>
      </c>
      <c r="D465" s="5" t="s">
        <v>14</v>
      </c>
      <c r="E465" s="5" t="s">
        <v>104</v>
      </c>
      <c r="F465" s="5" t="s">
        <v>105</v>
      </c>
      <c r="G465" s="5" t="s">
        <v>106</v>
      </c>
      <c r="H465" s="5" t="s">
        <v>37</v>
      </c>
      <c r="I465" s="14">
        <v>1556.32</v>
      </c>
      <c r="J465" s="7">
        <v>2000</v>
      </c>
      <c r="K465" s="5" t="s">
        <v>19</v>
      </c>
      <c r="L465" s="5" t="s">
        <v>27</v>
      </c>
      <c r="M465" s="17">
        <f t="shared" si="21"/>
        <v>-443.68000000000006</v>
      </c>
      <c r="N465" s="15">
        <f t="shared" si="22"/>
        <v>-1556.32</v>
      </c>
      <c r="O465" t="str">
        <f t="shared" si="23"/>
        <v>No</v>
      </c>
    </row>
    <row r="466" spans="1:15" x14ac:dyDescent="0.3">
      <c r="A466" s="2" t="s">
        <v>575</v>
      </c>
      <c r="B466" s="3">
        <v>45556</v>
      </c>
      <c r="C466" s="2" t="s">
        <v>546</v>
      </c>
      <c r="D466" s="2" t="s">
        <v>54</v>
      </c>
      <c r="E466" s="2" t="s">
        <v>87</v>
      </c>
      <c r="F466" s="2" t="s">
        <v>88</v>
      </c>
      <c r="G466" s="2" t="s">
        <v>89</v>
      </c>
      <c r="H466" s="2" t="s">
        <v>18</v>
      </c>
      <c r="I466" s="12">
        <v>4688.91</v>
      </c>
      <c r="J466" s="4">
        <v>0</v>
      </c>
      <c r="K466" s="2" t="s">
        <v>19</v>
      </c>
      <c r="L466" s="2" t="s">
        <v>27</v>
      </c>
      <c r="M466" s="17" t="str">
        <f t="shared" si="21"/>
        <v>0</v>
      </c>
      <c r="N466" s="15">
        <f t="shared" si="22"/>
        <v>4688.91</v>
      </c>
      <c r="O466" t="str">
        <f t="shared" si="23"/>
        <v>Yes</v>
      </c>
    </row>
    <row r="467" spans="1:15" x14ac:dyDescent="0.3">
      <c r="A467" s="5" t="s">
        <v>576</v>
      </c>
      <c r="B467" s="6">
        <v>45556</v>
      </c>
      <c r="C467" s="5" t="s">
        <v>546</v>
      </c>
      <c r="D467" s="5" t="s">
        <v>14</v>
      </c>
      <c r="E467" s="5" t="s">
        <v>104</v>
      </c>
      <c r="F467" s="5" t="s">
        <v>184</v>
      </c>
      <c r="G467" s="5" t="s">
        <v>185</v>
      </c>
      <c r="H467" s="5" t="s">
        <v>18</v>
      </c>
      <c r="I467" s="14">
        <v>1574.53</v>
      </c>
      <c r="J467" s="7">
        <v>2000</v>
      </c>
      <c r="K467" s="5" t="s">
        <v>47</v>
      </c>
      <c r="L467" s="5" t="s">
        <v>27</v>
      </c>
      <c r="M467" s="17">
        <f t="shared" si="21"/>
        <v>-425.47</v>
      </c>
      <c r="N467" s="15">
        <f t="shared" si="22"/>
        <v>-1574.53</v>
      </c>
      <c r="O467" t="str">
        <f t="shared" si="23"/>
        <v>No</v>
      </c>
    </row>
    <row r="468" spans="1:15" x14ac:dyDescent="0.3">
      <c r="A468" s="2" t="s">
        <v>577</v>
      </c>
      <c r="B468" s="3">
        <v>45556</v>
      </c>
      <c r="C468" s="2" t="s">
        <v>546</v>
      </c>
      <c r="D468" s="2" t="s">
        <v>14</v>
      </c>
      <c r="E468" s="2" t="s">
        <v>29</v>
      </c>
      <c r="F468" s="2" t="s">
        <v>30</v>
      </c>
      <c r="G468" s="2" t="s">
        <v>31</v>
      </c>
      <c r="H468" s="2" t="s">
        <v>18</v>
      </c>
      <c r="I468" s="12">
        <v>2694.13</v>
      </c>
      <c r="J468" s="4">
        <v>3000</v>
      </c>
      <c r="K468" s="2" t="s">
        <v>38</v>
      </c>
      <c r="L468" s="2" t="s">
        <v>20</v>
      </c>
      <c r="M468" s="17">
        <f t="shared" si="21"/>
        <v>-305.86999999999989</v>
      </c>
      <c r="N468" s="15">
        <f t="shared" si="22"/>
        <v>-2694.13</v>
      </c>
      <c r="O468" t="str">
        <f t="shared" si="23"/>
        <v>No</v>
      </c>
    </row>
    <row r="469" spans="1:15" x14ac:dyDescent="0.3">
      <c r="A469" s="5" t="s">
        <v>578</v>
      </c>
      <c r="B469" s="6">
        <v>45556</v>
      </c>
      <c r="C469" s="5" t="s">
        <v>546</v>
      </c>
      <c r="D469" s="5" t="s">
        <v>14</v>
      </c>
      <c r="E469" s="5" t="s">
        <v>22</v>
      </c>
      <c r="F469" s="5" t="s">
        <v>66</v>
      </c>
      <c r="G469" s="5" t="s">
        <v>67</v>
      </c>
      <c r="H469" s="5" t="s">
        <v>52</v>
      </c>
      <c r="I469" s="14">
        <v>3090.75</v>
      </c>
      <c r="J469" s="7">
        <v>2500</v>
      </c>
      <c r="K469" s="5" t="s">
        <v>19</v>
      </c>
      <c r="L469" s="5" t="s">
        <v>20</v>
      </c>
      <c r="M469" s="17">
        <f t="shared" si="21"/>
        <v>590.75</v>
      </c>
      <c r="N469" s="15">
        <f t="shared" si="22"/>
        <v>-3090.75</v>
      </c>
      <c r="O469" t="str">
        <f t="shared" si="23"/>
        <v>Yes</v>
      </c>
    </row>
    <row r="470" spans="1:15" x14ac:dyDescent="0.3">
      <c r="A470" s="2" t="s">
        <v>579</v>
      </c>
      <c r="B470" s="3">
        <v>45558</v>
      </c>
      <c r="C470" s="2" t="s">
        <v>546</v>
      </c>
      <c r="D470" s="2" t="s">
        <v>14</v>
      </c>
      <c r="E470" s="2" t="s">
        <v>104</v>
      </c>
      <c r="F470" s="2" t="s">
        <v>105</v>
      </c>
      <c r="G470" s="2" t="s">
        <v>106</v>
      </c>
      <c r="H470" s="2" t="s">
        <v>32</v>
      </c>
      <c r="I470" s="12">
        <v>1235.4000000000001</v>
      </c>
      <c r="J470" s="4">
        <v>2000</v>
      </c>
      <c r="K470" s="2" t="s">
        <v>47</v>
      </c>
      <c r="L470" s="2" t="s">
        <v>20</v>
      </c>
      <c r="M470" s="17">
        <f t="shared" si="21"/>
        <v>-764.59999999999991</v>
      </c>
      <c r="N470" s="15">
        <f t="shared" si="22"/>
        <v>-1235.4000000000001</v>
      </c>
      <c r="O470" t="str">
        <f t="shared" si="23"/>
        <v>No</v>
      </c>
    </row>
    <row r="471" spans="1:15" x14ac:dyDescent="0.3">
      <c r="A471" s="5" t="s">
        <v>580</v>
      </c>
      <c r="B471" s="6">
        <v>45559</v>
      </c>
      <c r="C471" s="5" t="s">
        <v>546</v>
      </c>
      <c r="D471" s="5" t="s">
        <v>14</v>
      </c>
      <c r="E471" s="5" t="s">
        <v>72</v>
      </c>
      <c r="F471" s="5" t="s">
        <v>132</v>
      </c>
      <c r="G471" s="5" t="s">
        <v>133</v>
      </c>
      <c r="H471" s="5" t="s">
        <v>18</v>
      </c>
      <c r="I471" s="14">
        <v>1268.94</v>
      </c>
      <c r="J471" s="7">
        <v>2000</v>
      </c>
      <c r="K471" s="5" t="s">
        <v>19</v>
      </c>
      <c r="L471" s="5" t="s">
        <v>27</v>
      </c>
      <c r="M471" s="17">
        <f t="shared" si="21"/>
        <v>-731.06</v>
      </c>
      <c r="N471" s="15">
        <f t="shared" si="22"/>
        <v>-1268.94</v>
      </c>
      <c r="O471" t="str">
        <f t="shared" si="23"/>
        <v>No</v>
      </c>
    </row>
    <row r="472" spans="1:15" x14ac:dyDescent="0.3">
      <c r="A472" s="2" t="s">
        <v>581</v>
      </c>
      <c r="B472" s="3">
        <v>45560</v>
      </c>
      <c r="C472" s="2" t="s">
        <v>546</v>
      </c>
      <c r="D472" s="2" t="s">
        <v>14</v>
      </c>
      <c r="E472" s="2" t="s">
        <v>40</v>
      </c>
      <c r="F472" s="2" t="s">
        <v>97</v>
      </c>
      <c r="G472" s="2" t="s">
        <v>98</v>
      </c>
      <c r="H472" s="2" t="s">
        <v>52</v>
      </c>
      <c r="I472" s="12">
        <v>3676.28</v>
      </c>
      <c r="J472" s="4">
        <v>6000</v>
      </c>
      <c r="K472" s="2" t="s">
        <v>47</v>
      </c>
      <c r="L472" s="2" t="s">
        <v>27</v>
      </c>
      <c r="M472" s="17">
        <f t="shared" si="21"/>
        <v>-2323.7199999999998</v>
      </c>
      <c r="N472" s="15">
        <f t="shared" si="22"/>
        <v>-3676.28</v>
      </c>
      <c r="O472" t="str">
        <f t="shared" si="23"/>
        <v>No</v>
      </c>
    </row>
    <row r="473" spans="1:15" x14ac:dyDescent="0.3">
      <c r="A473" s="5" t="s">
        <v>582</v>
      </c>
      <c r="B473" s="6">
        <v>45560</v>
      </c>
      <c r="C473" s="5" t="s">
        <v>546</v>
      </c>
      <c r="D473" s="5" t="s">
        <v>14</v>
      </c>
      <c r="E473" s="5" t="s">
        <v>22</v>
      </c>
      <c r="F473" s="5" t="s">
        <v>154</v>
      </c>
      <c r="G473" s="5" t="s">
        <v>155</v>
      </c>
      <c r="H473" s="5" t="s">
        <v>37</v>
      </c>
      <c r="I473" s="14">
        <v>3099.62</v>
      </c>
      <c r="J473" s="7">
        <v>2500</v>
      </c>
      <c r="K473" s="5" t="s">
        <v>26</v>
      </c>
      <c r="L473" s="5" t="s">
        <v>27</v>
      </c>
      <c r="M473" s="17">
        <f t="shared" si="21"/>
        <v>599.61999999999989</v>
      </c>
      <c r="N473" s="15">
        <f t="shared" si="22"/>
        <v>-3099.62</v>
      </c>
      <c r="O473" t="str">
        <f t="shared" si="23"/>
        <v>Yes</v>
      </c>
    </row>
    <row r="474" spans="1:15" x14ac:dyDescent="0.3">
      <c r="A474" s="2" t="s">
        <v>583</v>
      </c>
      <c r="B474" s="3">
        <v>45560</v>
      </c>
      <c r="C474" s="2" t="s">
        <v>546</v>
      </c>
      <c r="D474" s="2" t="s">
        <v>54</v>
      </c>
      <c r="E474" s="2" t="s">
        <v>209</v>
      </c>
      <c r="F474" s="2" t="s">
        <v>314</v>
      </c>
      <c r="G474" s="2" t="s">
        <v>315</v>
      </c>
      <c r="H474" s="2" t="s">
        <v>37</v>
      </c>
      <c r="I474" s="12">
        <v>4048.48</v>
      </c>
      <c r="J474" s="4">
        <v>0</v>
      </c>
      <c r="K474" s="2" t="s">
        <v>38</v>
      </c>
      <c r="L474" s="2" t="s">
        <v>27</v>
      </c>
      <c r="M474" s="17" t="str">
        <f t="shared" si="21"/>
        <v>0</v>
      </c>
      <c r="N474" s="15">
        <f t="shared" si="22"/>
        <v>4048.48</v>
      </c>
      <c r="O474" t="str">
        <f t="shared" si="23"/>
        <v>Yes</v>
      </c>
    </row>
    <row r="475" spans="1:15" x14ac:dyDescent="0.3">
      <c r="A475" s="5" t="s">
        <v>584</v>
      </c>
      <c r="B475" s="6">
        <v>45560</v>
      </c>
      <c r="C475" s="5" t="s">
        <v>546</v>
      </c>
      <c r="D475" s="5" t="s">
        <v>14</v>
      </c>
      <c r="E475" s="5" t="s">
        <v>15</v>
      </c>
      <c r="F475" s="5" t="s">
        <v>16</v>
      </c>
      <c r="G475" s="5" t="s">
        <v>17</v>
      </c>
      <c r="H475" s="5" t="s">
        <v>25</v>
      </c>
      <c r="I475" s="14">
        <v>6601.66</v>
      </c>
      <c r="J475" s="7">
        <v>12000</v>
      </c>
      <c r="K475" s="5" t="s">
        <v>38</v>
      </c>
      <c r="L475" s="5" t="s">
        <v>20</v>
      </c>
      <c r="M475" s="17">
        <f t="shared" si="21"/>
        <v>-5398.34</v>
      </c>
      <c r="N475" s="15">
        <f t="shared" si="22"/>
        <v>-6601.66</v>
      </c>
      <c r="O475" t="str">
        <f t="shared" si="23"/>
        <v>No</v>
      </c>
    </row>
    <row r="476" spans="1:15" x14ac:dyDescent="0.3">
      <c r="A476" s="2" t="s">
        <v>585</v>
      </c>
      <c r="B476" s="3">
        <v>45561</v>
      </c>
      <c r="C476" s="2" t="s">
        <v>546</v>
      </c>
      <c r="D476" s="2" t="s">
        <v>14</v>
      </c>
      <c r="E476" s="2" t="s">
        <v>34</v>
      </c>
      <c r="F476" s="2" t="s">
        <v>35</v>
      </c>
      <c r="G476" s="2" t="s">
        <v>36</v>
      </c>
      <c r="H476" s="2" t="s">
        <v>25</v>
      </c>
      <c r="I476" s="12">
        <v>3370.38</v>
      </c>
      <c r="J476" s="4">
        <v>4000</v>
      </c>
      <c r="K476" s="2" t="s">
        <v>47</v>
      </c>
      <c r="L476" s="2" t="s">
        <v>27</v>
      </c>
      <c r="M476" s="17">
        <f t="shared" si="21"/>
        <v>-629.61999999999989</v>
      </c>
      <c r="N476" s="15">
        <f t="shared" si="22"/>
        <v>-3370.38</v>
      </c>
      <c r="O476" t="str">
        <f t="shared" si="23"/>
        <v>No</v>
      </c>
    </row>
    <row r="477" spans="1:15" x14ac:dyDescent="0.3">
      <c r="A477" s="5" t="s">
        <v>586</v>
      </c>
      <c r="B477" s="6">
        <v>45561</v>
      </c>
      <c r="C477" s="5" t="s">
        <v>546</v>
      </c>
      <c r="D477" s="5" t="s">
        <v>14</v>
      </c>
      <c r="E477" s="5" t="s">
        <v>40</v>
      </c>
      <c r="F477" s="5" t="s">
        <v>97</v>
      </c>
      <c r="G477" s="5" t="s">
        <v>98</v>
      </c>
      <c r="H477" s="5" t="s">
        <v>25</v>
      </c>
      <c r="I477" s="14">
        <v>5559.45</v>
      </c>
      <c r="J477" s="7">
        <v>6000</v>
      </c>
      <c r="K477" s="5" t="s">
        <v>26</v>
      </c>
      <c r="L477" s="5" t="s">
        <v>27</v>
      </c>
      <c r="M477" s="17">
        <f t="shared" si="21"/>
        <v>-440.55000000000018</v>
      </c>
      <c r="N477" s="15">
        <f t="shared" si="22"/>
        <v>-5559.45</v>
      </c>
      <c r="O477" t="str">
        <f t="shared" si="23"/>
        <v>No</v>
      </c>
    </row>
    <row r="478" spans="1:15" x14ac:dyDescent="0.3">
      <c r="A478" s="2" t="s">
        <v>587</v>
      </c>
      <c r="B478" s="3">
        <v>45561</v>
      </c>
      <c r="C478" s="2" t="s">
        <v>546</v>
      </c>
      <c r="D478" s="2" t="s">
        <v>14</v>
      </c>
      <c r="E478" s="2" t="s">
        <v>15</v>
      </c>
      <c r="F478" s="2" t="s">
        <v>60</v>
      </c>
      <c r="G478" s="2" t="s">
        <v>61</v>
      </c>
      <c r="H478" s="2" t="s">
        <v>37</v>
      </c>
      <c r="I478" s="12">
        <v>10866.57</v>
      </c>
      <c r="J478" s="4">
        <v>12000</v>
      </c>
      <c r="K478" s="2" t="s">
        <v>47</v>
      </c>
      <c r="L478" s="2" t="s">
        <v>20</v>
      </c>
      <c r="M478" s="17">
        <f t="shared" si="21"/>
        <v>-1133.4300000000003</v>
      </c>
      <c r="N478" s="15">
        <f t="shared" si="22"/>
        <v>-10866.57</v>
      </c>
      <c r="O478" t="str">
        <f t="shared" si="23"/>
        <v>No</v>
      </c>
    </row>
    <row r="479" spans="1:15" x14ac:dyDescent="0.3">
      <c r="A479" s="5" t="s">
        <v>588</v>
      </c>
      <c r="B479" s="6">
        <v>45562</v>
      </c>
      <c r="C479" s="5" t="s">
        <v>546</v>
      </c>
      <c r="D479" s="5" t="s">
        <v>14</v>
      </c>
      <c r="E479" s="5" t="s">
        <v>49</v>
      </c>
      <c r="F479" s="5" t="s">
        <v>77</v>
      </c>
      <c r="G479" s="5" t="s">
        <v>78</v>
      </c>
      <c r="H479" s="5" t="s">
        <v>25</v>
      </c>
      <c r="I479" s="14">
        <v>2719.24</v>
      </c>
      <c r="J479" s="7">
        <v>3500</v>
      </c>
      <c r="K479" s="5" t="s">
        <v>19</v>
      </c>
      <c r="L479" s="5" t="s">
        <v>27</v>
      </c>
      <c r="M479" s="17">
        <f t="shared" si="21"/>
        <v>-780.76000000000022</v>
      </c>
      <c r="N479" s="15">
        <f t="shared" si="22"/>
        <v>-2719.24</v>
      </c>
      <c r="O479" t="str">
        <f t="shared" si="23"/>
        <v>No</v>
      </c>
    </row>
    <row r="480" spans="1:15" x14ac:dyDescent="0.3">
      <c r="A480" s="2" t="s">
        <v>589</v>
      </c>
      <c r="B480" s="3">
        <v>45562</v>
      </c>
      <c r="C480" s="2" t="s">
        <v>546</v>
      </c>
      <c r="D480" s="2" t="s">
        <v>14</v>
      </c>
      <c r="E480" s="2" t="s">
        <v>15</v>
      </c>
      <c r="F480" s="2" t="s">
        <v>16</v>
      </c>
      <c r="G480" s="2" t="s">
        <v>17</v>
      </c>
      <c r="H480" s="2" t="s">
        <v>37</v>
      </c>
      <c r="I480" s="12">
        <v>10351.780000000001</v>
      </c>
      <c r="J480" s="4">
        <v>12000</v>
      </c>
      <c r="K480" s="2" t="s">
        <v>26</v>
      </c>
      <c r="L480" s="2" t="s">
        <v>20</v>
      </c>
      <c r="M480" s="17">
        <f t="shared" si="21"/>
        <v>-1648.2199999999993</v>
      </c>
      <c r="N480" s="15">
        <f t="shared" si="22"/>
        <v>-10351.780000000001</v>
      </c>
      <c r="O480" t="str">
        <f t="shared" si="23"/>
        <v>No</v>
      </c>
    </row>
    <row r="481" spans="1:15" x14ac:dyDescent="0.3">
      <c r="A481" s="5" t="s">
        <v>590</v>
      </c>
      <c r="B481" s="6">
        <v>45562</v>
      </c>
      <c r="C481" s="5" t="s">
        <v>546</v>
      </c>
      <c r="D481" s="5" t="s">
        <v>54</v>
      </c>
      <c r="E481" s="5" t="s">
        <v>55</v>
      </c>
      <c r="F481" s="5" t="s">
        <v>56</v>
      </c>
      <c r="G481" s="5" t="s">
        <v>57</v>
      </c>
      <c r="H481" s="5" t="s">
        <v>25</v>
      </c>
      <c r="I481" s="14">
        <v>45463.42</v>
      </c>
      <c r="J481" s="7">
        <v>0</v>
      </c>
      <c r="K481" s="5" t="s">
        <v>47</v>
      </c>
      <c r="L481" s="5" t="s">
        <v>20</v>
      </c>
      <c r="M481" s="17" t="str">
        <f t="shared" si="21"/>
        <v>0</v>
      </c>
      <c r="N481" s="15">
        <f t="shared" si="22"/>
        <v>45463.42</v>
      </c>
      <c r="O481" t="str">
        <f t="shared" si="23"/>
        <v>Yes</v>
      </c>
    </row>
    <row r="482" spans="1:15" x14ac:dyDescent="0.3">
      <c r="A482" s="2" t="s">
        <v>591</v>
      </c>
      <c r="B482" s="3">
        <v>45563</v>
      </c>
      <c r="C482" s="2" t="s">
        <v>546</v>
      </c>
      <c r="D482" s="2" t="s">
        <v>14</v>
      </c>
      <c r="E482" s="2" t="s">
        <v>15</v>
      </c>
      <c r="F482" s="2" t="s">
        <v>83</v>
      </c>
      <c r="G482" s="2" t="s">
        <v>84</v>
      </c>
      <c r="H482" s="2" t="s">
        <v>25</v>
      </c>
      <c r="I482" s="12">
        <v>10705.89</v>
      </c>
      <c r="J482" s="4">
        <v>12000</v>
      </c>
      <c r="K482" s="2" t="s">
        <v>47</v>
      </c>
      <c r="L482" s="2" t="s">
        <v>20</v>
      </c>
      <c r="M482" s="17">
        <f t="shared" si="21"/>
        <v>-1294.1100000000006</v>
      </c>
      <c r="N482" s="15">
        <f t="shared" si="22"/>
        <v>-10705.89</v>
      </c>
      <c r="O482" t="str">
        <f t="shared" si="23"/>
        <v>No</v>
      </c>
    </row>
    <row r="483" spans="1:15" x14ac:dyDescent="0.3">
      <c r="A483" s="5" t="s">
        <v>592</v>
      </c>
      <c r="B483" s="6">
        <v>45564</v>
      </c>
      <c r="C483" s="5" t="s">
        <v>546</v>
      </c>
      <c r="D483" s="5" t="s">
        <v>14</v>
      </c>
      <c r="E483" s="5" t="s">
        <v>112</v>
      </c>
      <c r="F483" s="5" t="s">
        <v>193</v>
      </c>
      <c r="G483" s="5" t="s">
        <v>194</v>
      </c>
      <c r="H483" s="5" t="s">
        <v>25</v>
      </c>
      <c r="I483" s="14">
        <v>7945.86</v>
      </c>
      <c r="J483" s="7">
        <v>8000</v>
      </c>
      <c r="K483" s="5" t="s">
        <v>26</v>
      </c>
      <c r="L483" s="5" t="s">
        <v>20</v>
      </c>
      <c r="M483" s="17">
        <f t="shared" si="21"/>
        <v>-54.140000000000327</v>
      </c>
      <c r="N483" s="15">
        <f t="shared" si="22"/>
        <v>-7945.86</v>
      </c>
      <c r="O483" t="str">
        <f t="shared" si="23"/>
        <v>No</v>
      </c>
    </row>
    <row r="484" spans="1:15" x14ac:dyDescent="0.3">
      <c r="A484" s="2" t="s">
        <v>593</v>
      </c>
      <c r="B484" s="3">
        <v>45565</v>
      </c>
      <c r="C484" s="2" t="s">
        <v>546</v>
      </c>
      <c r="D484" s="2" t="s">
        <v>14</v>
      </c>
      <c r="E484" s="2" t="s">
        <v>112</v>
      </c>
      <c r="F484" s="2" t="s">
        <v>193</v>
      </c>
      <c r="G484" s="2" t="s">
        <v>194</v>
      </c>
      <c r="H484" s="2" t="s">
        <v>52</v>
      </c>
      <c r="I484" s="12">
        <v>8458.9500000000007</v>
      </c>
      <c r="J484" s="4">
        <v>8000</v>
      </c>
      <c r="K484" s="2" t="s">
        <v>19</v>
      </c>
      <c r="L484" s="2" t="s">
        <v>20</v>
      </c>
      <c r="M484" s="17">
        <f t="shared" si="21"/>
        <v>458.95000000000073</v>
      </c>
      <c r="N484" s="15">
        <f t="shared" si="22"/>
        <v>-8458.9500000000007</v>
      </c>
      <c r="O484" t="str">
        <f t="shared" si="23"/>
        <v>Yes</v>
      </c>
    </row>
    <row r="485" spans="1:15" x14ac:dyDescent="0.3">
      <c r="A485" s="5" t="s">
        <v>594</v>
      </c>
      <c r="B485" s="6">
        <v>45566</v>
      </c>
      <c r="C485" s="5" t="s">
        <v>595</v>
      </c>
      <c r="D485" s="5" t="s">
        <v>14</v>
      </c>
      <c r="E485" s="5" t="s">
        <v>15</v>
      </c>
      <c r="F485" s="5" t="s">
        <v>60</v>
      </c>
      <c r="G485" s="5" t="s">
        <v>61</v>
      </c>
      <c r="H485" s="5" t="s">
        <v>18</v>
      </c>
      <c r="I485" s="14">
        <v>8827.41</v>
      </c>
      <c r="J485" s="7">
        <v>12000</v>
      </c>
      <c r="K485" s="5" t="s">
        <v>38</v>
      </c>
      <c r="L485" s="5" t="s">
        <v>20</v>
      </c>
      <c r="M485" s="17">
        <f t="shared" si="21"/>
        <v>-3172.59</v>
      </c>
      <c r="N485" s="15">
        <f t="shared" si="22"/>
        <v>-8827.41</v>
      </c>
      <c r="O485" t="str">
        <f t="shared" si="23"/>
        <v>No</v>
      </c>
    </row>
    <row r="486" spans="1:15" x14ac:dyDescent="0.3">
      <c r="A486" s="2" t="s">
        <v>596</v>
      </c>
      <c r="B486" s="3">
        <v>45567</v>
      </c>
      <c r="C486" s="2" t="s">
        <v>595</v>
      </c>
      <c r="D486" s="2" t="s">
        <v>14</v>
      </c>
      <c r="E486" s="2" t="s">
        <v>49</v>
      </c>
      <c r="F486" s="2" t="s">
        <v>77</v>
      </c>
      <c r="G486" s="2" t="s">
        <v>78</v>
      </c>
      <c r="H486" s="2" t="s">
        <v>37</v>
      </c>
      <c r="I486" s="12">
        <v>2245.5100000000002</v>
      </c>
      <c r="J486" s="4">
        <v>3500</v>
      </c>
      <c r="K486" s="2" t="s">
        <v>26</v>
      </c>
      <c r="L486" s="2" t="s">
        <v>27</v>
      </c>
      <c r="M486" s="17">
        <f t="shared" si="21"/>
        <v>-1254.4899999999998</v>
      </c>
      <c r="N486" s="15">
        <f t="shared" si="22"/>
        <v>-2245.5100000000002</v>
      </c>
      <c r="O486" t="str">
        <f t="shared" si="23"/>
        <v>No</v>
      </c>
    </row>
    <row r="487" spans="1:15" x14ac:dyDescent="0.3">
      <c r="A487" s="5" t="s">
        <v>597</v>
      </c>
      <c r="B487" s="6">
        <v>45567</v>
      </c>
      <c r="C487" s="5" t="s">
        <v>595</v>
      </c>
      <c r="D487" s="5" t="s">
        <v>14</v>
      </c>
      <c r="E487" s="5" t="s">
        <v>34</v>
      </c>
      <c r="F487" s="5" t="s">
        <v>35</v>
      </c>
      <c r="G487" s="5" t="s">
        <v>36</v>
      </c>
      <c r="H487" s="5" t="s">
        <v>32</v>
      </c>
      <c r="I487" s="14">
        <v>2533.17</v>
      </c>
      <c r="J487" s="7">
        <v>4000</v>
      </c>
      <c r="K487" s="5" t="s">
        <v>38</v>
      </c>
      <c r="L487" s="5" t="s">
        <v>20</v>
      </c>
      <c r="M487" s="17">
        <f t="shared" si="21"/>
        <v>-1466.83</v>
      </c>
      <c r="N487" s="15">
        <f t="shared" si="22"/>
        <v>-2533.17</v>
      </c>
      <c r="O487" t="str">
        <f t="shared" si="23"/>
        <v>No</v>
      </c>
    </row>
    <row r="488" spans="1:15" x14ac:dyDescent="0.3">
      <c r="A488" s="2" t="s">
        <v>598</v>
      </c>
      <c r="B488" s="3">
        <v>45568</v>
      </c>
      <c r="C488" s="2" t="s">
        <v>595</v>
      </c>
      <c r="D488" s="2" t="s">
        <v>14</v>
      </c>
      <c r="E488" s="2" t="s">
        <v>44</v>
      </c>
      <c r="F488" s="2" t="s">
        <v>45</v>
      </c>
      <c r="G488" s="2" t="s">
        <v>46</v>
      </c>
      <c r="H488" s="2" t="s">
        <v>37</v>
      </c>
      <c r="I488" s="12">
        <v>15153.09</v>
      </c>
      <c r="J488" s="4">
        <v>15000</v>
      </c>
      <c r="K488" s="2" t="s">
        <v>26</v>
      </c>
      <c r="L488" s="2" t="s">
        <v>20</v>
      </c>
      <c r="M488" s="17">
        <f t="shared" si="21"/>
        <v>153.09000000000015</v>
      </c>
      <c r="N488" s="15">
        <f t="shared" si="22"/>
        <v>-15153.09</v>
      </c>
      <c r="O488" t="str">
        <f t="shared" si="23"/>
        <v>Yes</v>
      </c>
    </row>
    <row r="489" spans="1:15" x14ac:dyDescent="0.3">
      <c r="A489" s="5" t="s">
        <v>599</v>
      </c>
      <c r="B489" s="6">
        <v>45568</v>
      </c>
      <c r="C489" s="5" t="s">
        <v>595</v>
      </c>
      <c r="D489" s="5" t="s">
        <v>14</v>
      </c>
      <c r="E489" s="5" t="s">
        <v>44</v>
      </c>
      <c r="F489" s="5" t="s">
        <v>45</v>
      </c>
      <c r="G489" s="5" t="s">
        <v>46</v>
      </c>
      <c r="H489" s="5" t="s">
        <v>18</v>
      </c>
      <c r="I489" s="14">
        <v>11206.23</v>
      </c>
      <c r="J489" s="7">
        <v>15000</v>
      </c>
      <c r="K489" s="5" t="s">
        <v>47</v>
      </c>
      <c r="L489" s="5" t="s">
        <v>20</v>
      </c>
      <c r="M489" s="17">
        <f t="shared" si="21"/>
        <v>-3793.7700000000004</v>
      </c>
      <c r="N489" s="15">
        <f t="shared" si="22"/>
        <v>-11206.23</v>
      </c>
      <c r="O489" t="str">
        <f t="shared" si="23"/>
        <v>No</v>
      </c>
    </row>
    <row r="490" spans="1:15" x14ac:dyDescent="0.3">
      <c r="A490" s="2" t="s">
        <v>600</v>
      </c>
      <c r="B490" s="3">
        <v>45568</v>
      </c>
      <c r="C490" s="2" t="s">
        <v>595</v>
      </c>
      <c r="D490" s="2" t="s">
        <v>14</v>
      </c>
      <c r="E490" s="2" t="s">
        <v>29</v>
      </c>
      <c r="F490" s="2" t="s">
        <v>238</v>
      </c>
      <c r="G490" s="2" t="s">
        <v>239</v>
      </c>
      <c r="H490" s="2" t="s">
        <v>37</v>
      </c>
      <c r="I490" s="12">
        <v>3360.9</v>
      </c>
      <c r="J490" s="4">
        <v>3000</v>
      </c>
      <c r="K490" s="2" t="s">
        <v>19</v>
      </c>
      <c r="L490" s="2" t="s">
        <v>20</v>
      </c>
      <c r="M490" s="17">
        <f t="shared" si="21"/>
        <v>360.90000000000009</v>
      </c>
      <c r="N490" s="15">
        <f t="shared" si="22"/>
        <v>-3360.9</v>
      </c>
      <c r="O490" t="str">
        <f t="shared" si="23"/>
        <v>Yes</v>
      </c>
    </row>
    <row r="491" spans="1:15" x14ac:dyDescent="0.3">
      <c r="A491" s="5" t="s">
        <v>601</v>
      </c>
      <c r="B491" s="6">
        <v>45569</v>
      </c>
      <c r="C491" s="5" t="s">
        <v>595</v>
      </c>
      <c r="D491" s="5" t="s">
        <v>14</v>
      </c>
      <c r="E491" s="5" t="s">
        <v>40</v>
      </c>
      <c r="F491" s="5" t="s">
        <v>97</v>
      </c>
      <c r="G491" s="5" t="s">
        <v>98</v>
      </c>
      <c r="H491" s="5" t="s">
        <v>25</v>
      </c>
      <c r="I491" s="14">
        <v>5740.78</v>
      </c>
      <c r="J491" s="7">
        <v>6000</v>
      </c>
      <c r="K491" s="5" t="s">
        <v>19</v>
      </c>
      <c r="L491" s="5" t="s">
        <v>27</v>
      </c>
      <c r="M491" s="17">
        <f t="shared" si="21"/>
        <v>-259.22000000000025</v>
      </c>
      <c r="N491" s="15">
        <f t="shared" si="22"/>
        <v>-5740.78</v>
      </c>
      <c r="O491" t="str">
        <f t="shared" si="23"/>
        <v>No</v>
      </c>
    </row>
    <row r="492" spans="1:15" x14ac:dyDescent="0.3">
      <c r="A492" s="2" t="s">
        <v>602</v>
      </c>
      <c r="B492" s="3">
        <v>45570</v>
      </c>
      <c r="C492" s="2" t="s">
        <v>595</v>
      </c>
      <c r="D492" s="2" t="s">
        <v>14</v>
      </c>
      <c r="E492" s="2" t="s">
        <v>112</v>
      </c>
      <c r="F492" s="2" t="s">
        <v>135</v>
      </c>
      <c r="G492" s="2" t="s">
        <v>136</v>
      </c>
      <c r="H492" s="2" t="s">
        <v>37</v>
      </c>
      <c r="I492" s="12">
        <v>7014.3</v>
      </c>
      <c r="J492" s="4">
        <v>8000</v>
      </c>
      <c r="K492" s="2" t="s">
        <v>38</v>
      </c>
      <c r="L492" s="2" t="s">
        <v>20</v>
      </c>
      <c r="M492" s="17">
        <f t="shared" si="21"/>
        <v>-985.69999999999982</v>
      </c>
      <c r="N492" s="15">
        <f t="shared" si="22"/>
        <v>-7014.3</v>
      </c>
      <c r="O492" t="str">
        <f t="shared" si="23"/>
        <v>No</v>
      </c>
    </row>
    <row r="493" spans="1:15" x14ac:dyDescent="0.3">
      <c r="A493" s="5" t="s">
        <v>603</v>
      </c>
      <c r="B493" s="6">
        <v>45571</v>
      </c>
      <c r="C493" s="5" t="s">
        <v>595</v>
      </c>
      <c r="D493" s="5" t="s">
        <v>14</v>
      </c>
      <c r="E493" s="5" t="s">
        <v>15</v>
      </c>
      <c r="F493" s="5" t="s">
        <v>83</v>
      </c>
      <c r="G493" s="5" t="s">
        <v>84</v>
      </c>
      <c r="H493" s="5" t="s">
        <v>37</v>
      </c>
      <c r="I493" s="14">
        <v>15195.97</v>
      </c>
      <c r="J493" s="7">
        <v>12000</v>
      </c>
      <c r="K493" s="5" t="s">
        <v>47</v>
      </c>
      <c r="L493" s="5" t="s">
        <v>20</v>
      </c>
      <c r="M493" s="17">
        <f t="shared" si="21"/>
        <v>3195.9699999999993</v>
      </c>
      <c r="N493" s="15">
        <f t="shared" si="22"/>
        <v>-15195.97</v>
      </c>
      <c r="O493" t="str">
        <f t="shared" si="23"/>
        <v>Yes</v>
      </c>
    </row>
    <row r="494" spans="1:15" x14ac:dyDescent="0.3">
      <c r="A494" s="2" t="s">
        <v>604</v>
      </c>
      <c r="B494" s="3">
        <v>45572</v>
      </c>
      <c r="C494" s="2" t="s">
        <v>595</v>
      </c>
      <c r="D494" s="2" t="s">
        <v>14</v>
      </c>
      <c r="E494" s="2" t="s">
        <v>40</v>
      </c>
      <c r="F494" s="2" t="s">
        <v>97</v>
      </c>
      <c r="G494" s="2" t="s">
        <v>98</v>
      </c>
      <c r="H494" s="2" t="s">
        <v>18</v>
      </c>
      <c r="I494" s="12">
        <v>3326.14</v>
      </c>
      <c r="J494" s="4">
        <v>6000</v>
      </c>
      <c r="K494" s="2" t="s">
        <v>38</v>
      </c>
      <c r="L494" s="2" t="s">
        <v>27</v>
      </c>
      <c r="M494" s="17">
        <f t="shared" si="21"/>
        <v>-2673.86</v>
      </c>
      <c r="N494" s="15">
        <f t="shared" si="22"/>
        <v>-3326.14</v>
      </c>
      <c r="O494" t="str">
        <f t="shared" si="23"/>
        <v>No</v>
      </c>
    </row>
    <row r="495" spans="1:15" x14ac:dyDescent="0.3">
      <c r="A495" s="5" t="s">
        <v>605</v>
      </c>
      <c r="B495" s="6">
        <v>45573</v>
      </c>
      <c r="C495" s="5" t="s">
        <v>595</v>
      </c>
      <c r="D495" s="5" t="s">
        <v>54</v>
      </c>
      <c r="E495" s="5" t="s">
        <v>55</v>
      </c>
      <c r="F495" s="5" t="s">
        <v>56</v>
      </c>
      <c r="G495" s="5" t="s">
        <v>57</v>
      </c>
      <c r="H495" s="5" t="s">
        <v>37</v>
      </c>
      <c r="I495" s="14">
        <v>45127.31</v>
      </c>
      <c r="J495" s="7">
        <v>0</v>
      </c>
      <c r="K495" s="5" t="s">
        <v>19</v>
      </c>
      <c r="L495" s="5" t="s">
        <v>20</v>
      </c>
      <c r="M495" s="17" t="str">
        <f t="shared" si="21"/>
        <v>0</v>
      </c>
      <c r="N495" s="15">
        <f t="shared" si="22"/>
        <v>45127.31</v>
      </c>
      <c r="O495" t="str">
        <f t="shared" si="23"/>
        <v>Yes</v>
      </c>
    </row>
    <row r="496" spans="1:15" x14ac:dyDescent="0.3">
      <c r="A496" s="2" t="s">
        <v>606</v>
      </c>
      <c r="B496" s="3">
        <v>45575</v>
      </c>
      <c r="C496" s="2" t="s">
        <v>595</v>
      </c>
      <c r="D496" s="2" t="s">
        <v>14</v>
      </c>
      <c r="E496" s="2" t="s">
        <v>22</v>
      </c>
      <c r="F496" s="2" t="s">
        <v>154</v>
      </c>
      <c r="G496" s="2" t="s">
        <v>155</v>
      </c>
      <c r="H496" s="2" t="s">
        <v>37</v>
      </c>
      <c r="I496" s="12">
        <v>2048.2600000000002</v>
      </c>
      <c r="J496" s="4">
        <v>2500</v>
      </c>
      <c r="K496" s="2" t="s">
        <v>38</v>
      </c>
      <c r="L496" s="2" t="s">
        <v>27</v>
      </c>
      <c r="M496" s="17">
        <f t="shared" si="21"/>
        <v>-451.73999999999978</v>
      </c>
      <c r="N496" s="15">
        <f t="shared" si="22"/>
        <v>-2048.2600000000002</v>
      </c>
      <c r="O496" t="str">
        <f t="shared" si="23"/>
        <v>No</v>
      </c>
    </row>
    <row r="497" spans="1:15" x14ac:dyDescent="0.3">
      <c r="A497" s="5" t="s">
        <v>607</v>
      </c>
      <c r="B497" s="6">
        <v>45575</v>
      </c>
      <c r="C497" s="5" t="s">
        <v>595</v>
      </c>
      <c r="D497" s="5" t="s">
        <v>14</v>
      </c>
      <c r="E497" s="5" t="s">
        <v>104</v>
      </c>
      <c r="F497" s="5" t="s">
        <v>184</v>
      </c>
      <c r="G497" s="5" t="s">
        <v>185</v>
      </c>
      <c r="H497" s="5" t="s">
        <v>37</v>
      </c>
      <c r="I497" s="14">
        <v>2501.06</v>
      </c>
      <c r="J497" s="7">
        <v>2000</v>
      </c>
      <c r="K497" s="5" t="s">
        <v>38</v>
      </c>
      <c r="L497" s="5" t="s">
        <v>20</v>
      </c>
      <c r="M497" s="17">
        <f t="shared" si="21"/>
        <v>501.05999999999995</v>
      </c>
      <c r="N497" s="15">
        <f t="shared" si="22"/>
        <v>-2501.06</v>
      </c>
      <c r="O497" t="str">
        <f t="shared" si="23"/>
        <v>Yes</v>
      </c>
    </row>
    <row r="498" spans="1:15" x14ac:dyDescent="0.3">
      <c r="A498" s="2" t="s">
        <v>608</v>
      </c>
      <c r="B498" s="3">
        <v>45575</v>
      </c>
      <c r="C498" s="2" t="s">
        <v>595</v>
      </c>
      <c r="D498" s="2" t="s">
        <v>14</v>
      </c>
      <c r="E498" s="2" t="s">
        <v>49</v>
      </c>
      <c r="F498" s="2" t="s">
        <v>180</v>
      </c>
      <c r="G498" s="2" t="s">
        <v>181</v>
      </c>
      <c r="H498" s="2" t="s">
        <v>37</v>
      </c>
      <c r="I498" s="12">
        <v>3267.59</v>
      </c>
      <c r="J498" s="4">
        <v>3500</v>
      </c>
      <c r="K498" s="2" t="s">
        <v>26</v>
      </c>
      <c r="L498" s="2" t="s">
        <v>27</v>
      </c>
      <c r="M498" s="17">
        <f t="shared" si="21"/>
        <v>-232.40999999999985</v>
      </c>
      <c r="N498" s="15">
        <f t="shared" si="22"/>
        <v>-3267.59</v>
      </c>
      <c r="O498" t="str">
        <f t="shared" si="23"/>
        <v>No</v>
      </c>
    </row>
    <row r="499" spans="1:15" x14ac:dyDescent="0.3">
      <c r="A499" s="5" t="s">
        <v>609</v>
      </c>
      <c r="B499" s="6">
        <v>45575</v>
      </c>
      <c r="C499" s="5" t="s">
        <v>595</v>
      </c>
      <c r="D499" s="5" t="s">
        <v>14</v>
      </c>
      <c r="E499" s="5" t="s">
        <v>112</v>
      </c>
      <c r="F499" s="5" t="s">
        <v>193</v>
      </c>
      <c r="G499" s="5" t="s">
        <v>194</v>
      </c>
      <c r="H499" s="5" t="s">
        <v>37</v>
      </c>
      <c r="I499" s="14">
        <v>6378.05</v>
      </c>
      <c r="J499" s="7">
        <v>8000</v>
      </c>
      <c r="K499" s="5" t="s">
        <v>19</v>
      </c>
      <c r="L499" s="5" t="s">
        <v>20</v>
      </c>
      <c r="M499" s="17">
        <f t="shared" si="21"/>
        <v>-1621.9499999999998</v>
      </c>
      <c r="N499" s="15">
        <f t="shared" si="22"/>
        <v>-6378.05</v>
      </c>
      <c r="O499" t="str">
        <f t="shared" si="23"/>
        <v>No</v>
      </c>
    </row>
    <row r="500" spans="1:15" x14ac:dyDescent="0.3">
      <c r="A500" s="2" t="s">
        <v>610</v>
      </c>
      <c r="B500" s="3">
        <v>45576</v>
      </c>
      <c r="C500" s="2" t="s">
        <v>595</v>
      </c>
      <c r="D500" s="2" t="s">
        <v>54</v>
      </c>
      <c r="E500" s="2" t="s">
        <v>87</v>
      </c>
      <c r="F500" s="2" t="s">
        <v>88</v>
      </c>
      <c r="G500" s="2" t="s">
        <v>89</v>
      </c>
      <c r="H500" s="2" t="s">
        <v>32</v>
      </c>
      <c r="I500" s="12">
        <v>8771.81</v>
      </c>
      <c r="J500" s="4">
        <v>0</v>
      </c>
      <c r="K500" s="2" t="s">
        <v>38</v>
      </c>
      <c r="L500" s="2" t="s">
        <v>27</v>
      </c>
      <c r="M500" s="17" t="str">
        <f t="shared" si="21"/>
        <v>0</v>
      </c>
      <c r="N500" s="15">
        <f t="shared" si="22"/>
        <v>8771.81</v>
      </c>
      <c r="O500" t="str">
        <f t="shared" si="23"/>
        <v>Yes</v>
      </c>
    </row>
    <row r="501" spans="1:15" x14ac:dyDescent="0.3">
      <c r="A501" s="5" t="s">
        <v>611</v>
      </c>
      <c r="B501" s="6">
        <v>45576</v>
      </c>
      <c r="C501" s="5" t="s">
        <v>595</v>
      </c>
      <c r="D501" s="5" t="s">
        <v>14</v>
      </c>
      <c r="E501" s="5" t="s">
        <v>72</v>
      </c>
      <c r="F501" s="5" t="s">
        <v>73</v>
      </c>
      <c r="G501" s="5" t="s">
        <v>74</v>
      </c>
      <c r="H501" s="5" t="s">
        <v>32</v>
      </c>
      <c r="I501" s="14">
        <v>1621.95</v>
      </c>
      <c r="J501" s="7">
        <v>2000</v>
      </c>
      <c r="K501" s="5" t="s">
        <v>19</v>
      </c>
      <c r="L501" s="5" t="s">
        <v>27</v>
      </c>
      <c r="M501" s="17">
        <f t="shared" si="21"/>
        <v>-378.04999999999995</v>
      </c>
      <c r="N501" s="15">
        <f t="shared" si="22"/>
        <v>-1621.95</v>
      </c>
      <c r="O501" t="str">
        <f t="shared" si="23"/>
        <v>No</v>
      </c>
    </row>
    <row r="502" spans="1:15" x14ac:dyDescent="0.3">
      <c r="A502" s="2" t="s">
        <v>612</v>
      </c>
      <c r="B502" s="3">
        <v>45576</v>
      </c>
      <c r="C502" s="2" t="s">
        <v>595</v>
      </c>
      <c r="D502" s="2" t="s">
        <v>54</v>
      </c>
      <c r="E502" s="2" t="s">
        <v>55</v>
      </c>
      <c r="F502" s="2" t="s">
        <v>56</v>
      </c>
      <c r="G502" s="2" t="s">
        <v>57</v>
      </c>
      <c r="H502" s="2" t="s">
        <v>32</v>
      </c>
      <c r="I502" s="12">
        <v>45528.51</v>
      </c>
      <c r="J502" s="4">
        <v>0</v>
      </c>
      <c r="K502" s="2" t="s">
        <v>47</v>
      </c>
      <c r="L502" s="2" t="s">
        <v>20</v>
      </c>
      <c r="M502" s="17" t="str">
        <f t="shared" si="21"/>
        <v>0</v>
      </c>
      <c r="N502" s="15">
        <f t="shared" si="22"/>
        <v>45528.51</v>
      </c>
      <c r="O502" t="str">
        <f t="shared" si="23"/>
        <v>Yes</v>
      </c>
    </row>
    <row r="503" spans="1:15" x14ac:dyDescent="0.3">
      <c r="A503" s="5" t="s">
        <v>613</v>
      </c>
      <c r="B503" s="6">
        <v>45577</v>
      </c>
      <c r="C503" s="5" t="s">
        <v>595</v>
      </c>
      <c r="D503" s="5" t="s">
        <v>14</v>
      </c>
      <c r="E503" s="5" t="s">
        <v>29</v>
      </c>
      <c r="F503" s="5" t="s">
        <v>30</v>
      </c>
      <c r="G503" s="5" t="s">
        <v>31</v>
      </c>
      <c r="H503" s="5" t="s">
        <v>37</v>
      </c>
      <c r="I503" s="14">
        <v>3549.47</v>
      </c>
      <c r="J503" s="7">
        <v>3000</v>
      </c>
      <c r="K503" s="5" t="s">
        <v>26</v>
      </c>
      <c r="L503" s="5" t="s">
        <v>20</v>
      </c>
      <c r="M503" s="17">
        <f t="shared" si="21"/>
        <v>549.4699999999998</v>
      </c>
      <c r="N503" s="15">
        <f t="shared" si="22"/>
        <v>-3549.47</v>
      </c>
      <c r="O503" t="str">
        <f t="shared" si="23"/>
        <v>Yes</v>
      </c>
    </row>
    <row r="504" spans="1:15" x14ac:dyDescent="0.3">
      <c r="A504" s="2" t="s">
        <v>614</v>
      </c>
      <c r="B504" s="3">
        <v>45577</v>
      </c>
      <c r="C504" s="2" t="s">
        <v>595</v>
      </c>
      <c r="D504" s="2" t="s">
        <v>14</v>
      </c>
      <c r="E504" s="2" t="s">
        <v>112</v>
      </c>
      <c r="F504" s="2" t="s">
        <v>135</v>
      </c>
      <c r="G504" s="2" t="s">
        <v>136</v>
      </c>
      <c r="H504" s="2" t="s">
        <v>18</v>
      </c>
      <c r="I504" s="12">
        <v>8742.3799999999992</v>
      </c>
      <c r="J504" s="4">
        <v>8000</v>
      </c>
      <c r="K504" s="2" t="s">
        <v>47</v>
      </c>
      <c r="L504" s="2" t="s">
        <v>20</v>
      </c>
      <c r="M504" s="17">
        <f t="shared" si="21"/>
        <v>742.3799999999992</v>
      </c>
      <c r="N504" s="15">
        <f t="shared" si="22"/>
        <v>-8742.3799999999992</v>
      </c>
      <c r="O504" t="str">
        <f t="shared" si="23"/>
        <v>Yes</v>
      </c>
    </row>
    <row r="505" spans="1:15" x14ac:dyDescent="0.3">
      <c r="A505" s="5" t="s">
        <v>615</v>
      </c>
      <c r="B505" s="6">
        <v>45578</v>
      </c>
      <c r="C505" s="5" t="s">
        <v>595</v>
      </c>
      <c r="D505" s="5" t="s">
        <v>54</v>
      </c>
      <c r="E505" s="5" t="s">
        <v>87</v>
      </c>
      <c r="F505" s="5" t="s">
        <v>176</v>
      </c>
      <c r="G505" s="5" t="s">
        <v>177</v>
      </c>
      <c r="H505" s="5" t="s">
        <v>52</v>
      </c>
      <c r="I505" s="14">
        <v>4613.7</v>
      </c>
      <c r="J505" s="7">
        <v>0</v>
      </c>
      <c r="K505" s="5" t="s">
        <v>19</v>
      </c>
      <c r="L505" s="5" t="s">
        <v>27</v>
      </c>
      <c r="M505" s="17" t="str">
        <f t="shared" si="21"/>
        <v>0</v>
      </c>
      <c r="N505" s="15">
        <f t="shared" si="22"/>
        <v>4613.7</v>
      </c>
      <c r="O505" t="str">
        <f t="shared" si="23"/>
        <v>Yes</v>
      </c>
    </row>
    <row r="506" spans="1:15" x14ac:dyDescent="0.3">
      <c r="A506" s="2" t="s">
        <v>616</v>
      </c>
      <c r="B506" s="3">
        <v>45578</v>
      </c>
      <c r="C506" s="2" t="s">
        <v>595</v>
      </c>
      <c r="D506" s="2" t="s">
        <v>14</v>
      </c>
      <c r="E506" s="2" t="s">
        <v>15</v>
      </c>
      <c r="F506" s="2" t="s">
        <v>83</v>
      </c>
      <c r="G506" s="2" t="s">
        <v>84</v>
      </c>
      <c r="H506" s="2" t="s">
        <v>25</v>
      </c>
      <c r="I506" s="12">
        <v>9371.67</v>
      </c>
      <c r="J506" s="4">
        <v>12000</v>
      </c>
      <c r="K506" s="2" t="s">
        <v>47</v>
      </c>
      <c r="L506" s="2" t="s">
        <v>20</v>
      </c>
      <c r="M506" s="17">
        <f t="shared" si="21"/>
        <v>-2628.33</v>
      </c>
      <c r="N506" s="15">
        <f t="shared" si="22"/>
        <v>-9371.67</v>
      </c>
      <c r="O506" t="str">
        <f t="shared" si="23"/>
        <v>No</v>
      </c>
    </row>
    <row r="507" spans="1:15" x14ac:dyDescent="0.3">
      <c r="A507" s="5" t="s">
        <v>617</v>
      </c>
      <c r="B507" s="6">
        <v>45578</v>
      </c>
      <c r="C507" s="5" t="s">
        <v>595</v>
      </c>
      <c r="D507" s="5" t="s">
        <v>14</v>
      </c>
      <c r="E507" s="5" t="s">
        <v>49</v>
      </c>
      <c r="F507" s="5" t="s">
        <v>50</v>
      </c>
      <c r="G507" s="5" t="s">
        <v>51</v>
      </c>
      <c r="H507" s="5" t="s">
        <v>52</v>
      </c>
      <c r="I507" s="14">
        <v>3748</v>
      </c>
      <c r="J507" s="7">
        <v>3500</v>
      </c>
      <c r="K507" s="5" t="s">
        <v>19</v>
      </c>
      <c r="L507" s="5" t="s">
        <v>20</v>
      </c>
      <c r="M507" s="17">
        <f t="shared" si="21"/>
        <v>248</v>
      </c>
      <c r="N507" s="15">
        <f t="shared" si="22"/>
        <v>-3748</v>
      </c>
      <c r="O507" t="str">
        <f t="shared" si="23"/>
        <v>Yes</v>
      </c>
    </row>
    <row r="508" spans="1:15" x14ac:dyDescent="0.3">
      <c r="A508" s="2" t="s">
        <v>618</v>
      </c>
      <c r="B508" s="3">
        <v>45579</v>
      </c>
      <c r="C508" s="2" t="s">
        <v>595</v>
      </c>
      <c r="D508" s="2" t="s">
        <v>14</v>
      </c>
      <c r="E508" s="2" t="s">
        <v>22</v>
      </c>
      <c r="F508" s="2" t="s">
        <v>154</v>
      </c>
      <c r="G508" s="2" t="s">
        <v>155</v>
      </c>
      <c r="H508" s="2" t="s">
        <v>37</v>
      </c>
      <c r="I508" s="12">
        <v>2851.18</v>
      </c>
      <c r="J508" s="4">
        <v>2500</v>
      </c>
      <c r="K508" s="2" t="s">
        <v>26</v>
      </c>
      <c r="L508" s="2" t="s">
        <v>27</v>
      </c>
      <c r="M508" s="17">
        <f t="shared" si="21"/>
        <v>351.17999999999984</v>
      </c>
      <c r="N508" s="15">
        <f t="shared" si="22"/>
        <v>-2851.18</v>
      </c>
      <c r="O508" t="str">
        <f t="shared" si="23"/>
        <v>Yes</v>
      </c>
    </row>
    <row r="509" spans="1:15" x14ac:dyDescent="0.3">
      <c r="A509" s="5" t="s">
        <v>619</v>
      </c>
      <c r="B509" s="6">
        <v>45579</v>
      </c>
      <c r="C509" s="5" t="s">
        <v>595</v>
      </c>
      <c r="D509" s="5" t="s">
        <v>14</v>
      </c>
      <c r="E509" s="5" t="s">
        <v>40</v>
      </c>
      <c r="F509" s="5" t="s">
        <v>41</v>
      </c>
      <c r="G509" s="5" t="s">
        <v>42</v>
      </c>
      <c r="H509" s="5" t="s">
        <v>32</v>
      </c>
      <c r="I509" s="14">
        <v>5035.3599999999997</v>
      </c>
      <c r="J509" s="7">
        <v>6000</v>
      </c>
      <c r="K509" s="5" t="s">
        <v>47</v>
      </c>
      <c r="L509" s="5" t="s">
        <v>27</v>
      </c>
      <c r="M509" s="17">
        <f t="shared" si="21"/>
        <v>-964.64000000000033</v>
      </c>
      <c r="N509" s="15">
        <f t="shared" si="22"/>
        <v>-5035.3599999999997</v>
      </c>
      <c r="O509" t="str">
        <f t="shared" si="23"/>
        <v>No</v>
      </c>
    </row>
    <row r="510" spans="1:15" x14ac:dyDescent="0.3">
      <c r="A510" s="2" t="s">
        <v>620</v>
      </c>
      <c r="B510" s="3">
        <v>45580</v>
      </c>
      <c r="C510" s="2" t="s">
        <v>595</v>
      </c>
      <c r="D510" s="2" t="s">
        <v>14</v>
      </c>
      <c r="E510" s="2" t="s">
        <v>22</v>
      </c>
      <c r="F510" s="2" t="s">
        <v>154</v>
      </c>
      <c r="G510" s="2" t="s">
        <v>155</v>
      </c>
      <c r="H510" s="2" t="s">
        <v>37</v>
      </c>
      <c r="I510" s="12">
        <v>2880.9</v>
      </c>
      <c r="J510" s="4">
        <v>2500</v>
      </c>
      <c r="K510" s="2" t="s">
        <v>38</v>
      </c>
      <c r="L510" s="2" t="s">
        <v>27</v>
      </c>
      <c r="M510" s="17">
        <f t="shared" si="21"/>
        <v>380.90000000000009</v>
      </c>
      <c r="N510" s="15">
        <f t="shared" si="22"/>
        <v>-2880.9</v>
      </c>
      <c r="O510" t="str">
        <f t="shared" si="23"/>
        <v>Yes</v>
      </c>
    </row>
    <row r="511" spans="1:15" x14ac:dyDescent="0.3">
      <c r="A511" s="5" t="s">
        <v>621</v>
      </c>
      <c r="B511" s="6">
        <v>45580</v>
      </c>
      <c r="C511" s="5" t="s">
        <v>595</v>
      </c>
      <c r="D511" s="5" t="s">
        <v>14</v>
      </c>
      <c r="E511" s="5" t="s">
        <v>29</v>
      </c>
      <c r="F511" s="5" t="s">
        <v>30</v>
      </c>
      <c r="G511" s="5" t="s">
        <v>31</v>
      </c>
      <c r="H511" s="5" t="s">
        <v>32</v>
      </c>
      <c r="I511" s="14">
        <v>3210.52</v>
      </c>
      <c r="J511" s="7">
        <v>3000</v>
      </c>
      <c r="K511" s="5" t="s">
        <v>38</v>
      </c>
      <c r="L511" s="5" t="s">
        <v>20</v>
      </c>
      <c r="M511" s="17">
        <f t="shared" si="21"/>
        <v>210.51999999999998</v>
      </c>
      <c r="N511" s="15">
        <f t="shared" si="22"/>
        <v>-3210.52</v>
      </c>
      <c r="O511" t="str">
        <f t="shared" si="23"/>
        <v>Yes</v>
      </c>
    </row>
    <row r="512" spans="1:15" x14ac:dyDescent="0.3">
      <c r="A512" s="2" t="s">
        <v>622</v>
      </c>
      <c r="B512" s="3">
        <v>45581</v>
      </c>
      <c r="C512" s="2" t="s">
        <v>595</v>
      </c>
      <c r="D512" s="2" t="s">
        <v>14</v>
      </c>
      <c r="E512" s="2" t="s">
        <v>34</v>
      </c>
      <c r="F512" s="2" t="s">
        <v>94</v>
      </c>
      <c r="G512" s="2" t="s">
        <v>95</v>
      </c>
      <c r="H512" s="2" t="s">
        <v>18</v>
      </c>
      <c r="I512" s="12">
        <v>2010.8</v>
      </c>
      <c r="J512" s="4">
        <v>4000</v>
      </c>
      <c r="K512" s="2" t="s">
        <v>47</v>
      </c>
      <c r="L512" s="2" t="s">
        <v>27</v>
      </c>
      <c r="M512" s="17">
        <f t="shared" si="21"/>
        <v>-1989.2</v>
      </c>
      <c r="N512" s="15">
        <f t="shared" si="22"/>
        <v>-2010.8</v>
      </c>
      <c r="O512" t="str">
        <f t="shared" si="23"/>
        <v>No</v>
      </c>
    </row>
    <row r="513" spans="1:15" x14ac:dyDescent="0.3">
      <c r="A513" s="5" t="s">
        <v>623</v>
      </c>
      <c r="B513" s="6">
        <v>45581</v>
      </c>
      <c r="C513" s="5" t="s">
        <v>595</v>
      </c>
      <c r="D513" s="5" t="s">
        <v>54</v>
      </c>
      <c r="E513" s="5" t="s">
        <v>55</v>
      </c>
      <c r="F513" s="5" t="s">
        <v>56</v>
      </c>
      <c r="G513" s="5" t="s">
        <v>57</v>
      </c>
      <c r="H513" s="5" t="s">
        <v>18</v>
      </c>
      <c r="I513" s="14">
        <v>48310.3</v>
      </c>
      <c r="J513" s="7">
        <v>0</v>
      </c>
      <c r="K513" s="5" t="s">
        <v>19</v>
      </c>
      <c r="L513" s="5" t="s">
        <v>20</v>
      </c>
      <c r="M513" s="17" t="str">
        <f t="shared" si="21"/>
        <v>0</v>
      </c>
      <c r="N513" s="15">
        <f t="shared" si="22"/>
        <v>48310.3</v>
      </c>
      <c r="O513" t="str">
        <f t="shared" si="23"/>
        <v>Yes</v>
      </c>
    </row>
    <row r="514" spans="1:15" x14ac:dyDescent="0.3">
      <c r="A514" s="2" t="s">
        <v>624</v>
      </c>
      <c r="B514" s="3">
        <v>45581</v>
      </c>
      <c r="C514" s="2" t="s">
        <v>595</v>
      </c>
      <c r="D514" s="2" t="s">
        <v>14</v>
      </c>
      <c r="E514" s="2" t="s">
        <v>34</v>
      </c>
      <c r="F514" s="2" t="s">
        <v>94</v>
      </c>
      <c r="G514" s="2" t="s">
        <v>95</v>
      </c>
      <c r="H514" s="2" t="s">
        <v>37</v>
      </c>
      <c r="I514" s="12">
        <v>3323.68</v>
      </c>
      <c r="J514" s="4">
        <v>4000</v>
      </c>
      <c r="K514" s="2" t="s">
        <v>19</v>
      </c>
      <c r="L514" s="2" t="s">
        <v>27</v>
      </c>
      <c r="M514" s="17">
        <f t="shared" si="21"/>
        <v>-676.32000000000016</v>
      </c>
      <c r="N514" s="15">
        <f t="shared" si="22"/>
        <v>-3323.68</v>
      </c>
      <c r="O514" t="str">
        <f t="shared" si="23"/>
        <v>No</v>
      </c>
    </row>
    <row r="515" spans="1:15" x14ac:dyDescent="0.3">
      <c r="A515" s="5" t="s">
        <v>625</v>
      </c>
      <c r="B515" s="6">
        <v>45582</v>
      </c>
      <c r="C515" s="5" t="s">
        <v>595</v>
      </c>
      <c r="D515" s="5" t="s">
        <v>14</v>
      </c>
      <c r="E515" s="5" t="s">
        <v>40</v>
      </c>
      <c r="F515" s="5" t="s">
        <v>97</v>
      </c>
      <c r="G515" s="5" t="s">
        <v>98</v>
      </c>
      <c r="H515" s="5" t="s">
        <v>52</v>
      </c>
      <c r="I515" s="14">
        <v>6331.93</v>
      </c>
      <c r="J515" s="7">
        <v>6000</v>
      </c>
      <c r="K515" s="5" t="s">
        <v>19</v>
      </c>
      <c r="L515" s="5" t="s">
        <v>27</v>
      </c>
      <c r="M515" s="17">
        <f t="shared" ref="M515:M578" si="24">IF(J515=0,"0",I515-J515)</f>
        <v>331.93000000000029</v>
      </c>
      <c r="N515" s="15">
        <f t="shared" ref="N515:N578" si="25">IF(D515="Income",I515,-I515)</f>
        <v>-6331.93</v>
      </c>
      <c r="O515" t="str">
        <f t="shared" ref="O515:O578" si="26">IF(M515&gt;0,"Yes","No")</f>
        <v>Yes</v>
      </c>
    </row>
    <row r="516" spans="1:15" x14ac:dyDescent="0.3">
      <c r="A516" s="2" t="s">
        <v>626</v>
      </c>
      <c r="B516" s="3">
        <v>45582</v>
      </c>
      <c r="C516" s="2" t="s">
        <v>595</v>
      </c>
      <c r="D516" s="2" t="s">
        <v>14</v>
      </c>
      <c r="E516" s="2" t="s">
        <v>49</v>
      </c>
      <c r="F516" s="2" t="s">
        <v>180</v>
      </c>
      <c r="G516" s="2" t="s">
        <v>181</v>
      </c>
      <c r="H516" s="2" t="s">
        <v>32</v>
      </c>
      <c r="I516" s="12">
        <v>4215.7700000000004</v>
      </c>
      <c r="J516" s="4">
        <v>3500</v>
      </c>
      <c r="K516" s="2" t="s">
        <v>47</v>
      </c>
      <c r="L516" s="2" t="s">
        <v>27</v>
      </c>
      <c r="M516" s="17">
        <f t="shared" si="24"/>
        <v>715.77000000000044</v>
      </c>
      <c r="N516" s="15">
        <f t="shared" si="25"/>
        <v>-4215.7700000000004</v>
      </c>
      <c r="O516" t="str">
        <f t="shared" si="26"/>
        <v>Yes</v>
      </c>
    </row>
    <row r="517" spans="1:15" x14ac:dyDescent="0.3">
      <c r="A517" s="5" t="s">
        <v>627</v>
      </c>
      <c r="B517" s="6">
        <v>45583</v>
      </c>
      <c r="C517" s="5" t="s">
        <v>595</v>
      </c>
      <c r="D517" s="5" t="s">
        <v>14</v>
      </c>
      <c r="E517" s="5" t="s">
        <v>22</v>
      </c>
      <c r="F517" s="5" t="s">
        <v>23</v>
      </c>
      <c r="G517" s="5" t="s">
        <v>24</v>
      </c>
      <c r="H517" s="5" t="s">
        <v>52</v>
      </c>
      <c r="I517" s="14">
        <v>2712.44</v>
      </c>
      <c r="J517" s="7">
        <v>2500</v>
      </c>
      <c r="K517" s="5" t="s">
        <v>19</v>
      </c>
      <c r="L517" s="5" t="s">
        <v>20</v>
      </c>
      <c r="M517" s="17">
        <f t="shared" si="24"/>
        <v>212.44000000000005</v>
      </c>
      <c r="N517" s="15">
        <f t="shared" si="25"/>
        <v>-2712.44</v>
      </c>
      <c r="O517" t="str">
        <f t="shared" si="26"/>
        <v>Yes</v>
      </c>
    </row>
    <row r="518" spans="1:15" x14ac:dyDescent="0.3">
      <c r="A518" s="2" t="s">
        <v>628</v>
      </c>
      <c r="B518" s="3">
        <v>45583</v>
      </c>
      <c r="C518" s="2" t="s">
        <v>595</v>
      </c>
      <c r="D518" s="2" t="s">
        <v>14</v>
      </c>
      <c r="E518" s="2" t="s">
        <v>44</v>
      </c>
      <c r="F518" s="2" t="s">
        <v>45</v>
      </c>
      <c r="G518" s="2" t="s">
        <v>46</v>
      </c>
      <c r="H518" s="2" t="s">
        <v>52</v>
      </c>
      <c r="I518" s="12">
        <v>13574.14</v>
      </c>
      <c r="J518" s="4">
        <v>15000</v>
      </c>
      <c r="K518" s="2" t="s">
        <v>38</v>
      </c>
      <c r="L518" s="2" t="s">
        <v>20</v>
      </c>
      <c r="M518" s="17">
        <f t="shared" si="24"/>
        <v>-1425.8600000000006</v>
      </c>
      <c r="N518" s="15">
        <f t="shared" si="25"/>
        <v>-13574.14</v>
      </c>
      <c r="O518" t="str">
        <f t="shared" si="26"/>
        <v>No</v>
      </c>
    </row>
    <row r="519" spans="1:15" x14ac:dyDescent="0.3">
      <c r="A519" s="5" t="s">
        <v>629</v>
      </c>
      <c r="B519" s="6">
        <v>45584</v>
      </c>
      <c r="C519" s="5" t="s">
        <v>595</v>
      </c>
      <c r="D519" s="5" t="s">
        <v>14</v>
      </c>
      <c r="E519" s="5" t="s">
        <v>40</v>
      </c>
      <c r="F519" s="5" t="s">
        <v>41</v>
      </c>
      <c r="G519" s="5" t="s">
        <v>42</v>
      </c>
      <c r="H519" s="5" t="s">
        <v>18</v>
      </c>
      <c r="I519" s="14">
        <v>7552.02</v>
      </c>
      <c r="J519" s="7">
        <v>6000</v>
      </c>
      <c r="K519" s="5" t="s">
        <v>47</v>
      </c>
      <c r="L519" s="5" t="s">
        <v>27</v>
      </c>
      <c r="M519" s="17">
        <f t="shared" si="24"/>
        <v>1552.0200000000004</v>
      </c>
      <c r="N519" s="15">
        <f t="shared" si="25"/>
        <v>-7552.02</v>
      </c>
      <c r="O519" t="str">
        <f t="shared" si="26"/>
        <v>Yes</v>
      </c>
    </row>
    <row r="520" spans="1:15" x14ac:dyDescent="0.3">
      <c r="A520" s="2" t="s">
        <v>630</v>
      </c>
      <c r="B520" s="3">
        <v>45584</v>
      </c>
      <c r="C520" s="2" t="s">
        <v>595</v>
      </c>
      <c r="D520" s="2" t="s">
        <v>14</v>
      </c>
      <c r="E520" s="2" t="s">
        <v>104</v>
      </c>
      <c r="F520" s="2" t="s">
        <v>105</v>
      </c>
      <c r="G520" s="2" t="s">
        <v>106</v>
      </c>
      <c r="H520" s="2" t="s">
        <v>18</v>
      </c>
      <c r="I520" s="12">
        <v>1491.16</v>
      </c>
      <c r="J520" s="4">
        <v>2000</v>
      </c>
      <c r="K520" s="2" t="s">
        <v>26</v>
      </c>
      <c r="L520" s="2" t="s">
        <v>27</v>
      </c>
      <c r="M520" s="17">
        <f t="shared" si="24"/>
        <v>-508.83999999999992</v>
      </c>
      <c r="N520" s="15">
        <f t="shared" si="25"/>
        <v>-1491.16</v>
      </c>
      <c r="O520" t="str">
        <f t="shared" si="26"/>
        <v>No</v>
      </c>
    </row>
    <row r="521" spans="1:15" x14ac:dyDescent="0.3">
      <c r="A521" s="5" t="s">
        <v>631</v>
      </c>
      <c r="B521" s="6">
        <v>45584</v>
      </c>
      <c r="C521" s="5" t="s">
        <v>595</v>
      </c>
      <c r="D521" s="5" t="s">
        <v>14</v>
      </c>
      <c r="E521" s="5" t="s">
        <v>15</v>
      </c>
      <c r="F521" s="5" t="s">
        <v>60</v>
      </c>
      <c r="G521" s="5" t="s">
        <v>61</v>
      </c>
      <c r="H521" s="5" t="s">
        <v>52</v>
      </c>
      <c r="I521" s="14">
        <v>10701.57</v>
      </c>
      <c r="J521" s="7">
        <v>12000</v>
      </c>
      <c r="K521" s="5" t="s">
        <v>26</v>
      </c>
      <c r="L521" s="5" t="s">
        <v>20</v>
      </c>
      <c r="M521" s="17">
        <f t="shared" si="24"/>
        <v>-1298.4300000000003</v>
      </c>
      <c r="N521" s="15">
        <f t="shared" si="25"/>
        <v>-10701.57</v>
      </c>
      <c r="O521" t="str">
        <f t="shared" si="26"/>
        <v>No</v>
      </c>
    </row>
    <row r="522" spans="1:15" x14ac:dyDescent="0.3">
      <c r="A522" s="2" t="s">
        <v>632</v>
      </c>
      <c r="B522" s="3">
        <v>45585</v>
      </c>
      <c r="C522" s="2" t="s">
        <v>595</v>
      </c>
      <c r="D522" s="2" t="s">
        <v>14</v>
      </c>
      <c r="E522" s="2" t="s">
        <v>15</v>
      </c>
      <c r="F522" s="2" t="s">
        <v>16</v>
      </c>
      <c r="G522" s="2" t="s">
        <v>17</v>
      </c>
      <c r="H522" s="2" t="s">
        <v>52</v>
      </c>
      <c r="I522" s="12">
        <v>13616.44</v>
      </c>
      <c r="J522" s="4">
        <v>12000</v>
      </c>
      <c r="K522" s="2" t="s">
        <v>47</v>
      </c>
      <c r="L522" s="2" t="s">
        <v>20</v>
      </c>
      <c r="M522" s="17">
        <f t="shared" si="24"/>
        <v>1616.4400000000005</v>
      </c>
      <c r="N522" s="15">
        <f t="shared" si="25"/>
        <v>-13616.44</v>
      </c>
      <c r="O522" t="str">
        <f t="shared" si="26"/>
        <v>Yes</v>
      </c>
    </row>
    <row r="523" spans="1:15" x14ac:dyDescent="0.3">
      <c r="A523" s="5" t="s">
        <v>633</v>
      </c>
      <c r="B523" s="6">
        <v>45586</v>
      </c>
      <c r="C523" s="5" t="s">
        <v>595</v>
      </c>
      <c r="D523" s="5" t="s">
        <v>14</v>
      </c>
      <c r="E523" s="5" t="s">
        <v>15</v>
      </c>
      <c r="F523" s="5" t="s">
        <v>16</v>
      </c>
      <c r="G523" s="5" t="s">
        <v>17</v>
      </c>
      <c r="H523" s="5" t="s">
        <v>52</v>
      </c>
      <c r="I523" s="14">
        <v>13841.04</v>
      </c>
      <c r="J523" s="7">
        <v>12000</v>
      </c>
      <c r="K523" s="5" t="s">
        <v>19</v>
      </c>
      <c r="L523" s="5" t="s">
        <v>20</v>
      </c>
      <c r="M523" s="17">
        <f t="shared" si="24"/>
        <v>1841.0400000000009</v>
      </c>
      <c r="N523" s="15">
        <f t="shared" si="25"/>
        <v>-13841.04</v>
      </c>
      <c r="O523" t="str">
        <f t="shared" si="26"/>
        <v>Yes</v>
      </c>
    </row>
    <row r="524" spans="1:15" x14ac:dyDescent="0.3">
      <c r="A524" s="2" t="s">
        <v>634</v>
      </c>
      <c r="B524" s="3">
        <v>45587</v>
      </c>
      <c r="C524" s="2" t="s">
        <v>595</v>
      </c>
      <c r="D524" s="2" t="s">
        <v>14</v>
      </c>
      <c r="E524" s="2" t="s">
        <v>34</v>
      </c>
      <c r="F524" s="2" t="s">
        <v>94</v>
      </c>
      <c r="G524" s="2" t="s">
        <v>95</v>
      </c>
      <c r="H524" s="2" t="s">
        <v>37</v>
      </c>
      <c r="I524" s="12">
        <v>2805.16</v>
      </c>
      <c r="J524" s="4">
        <v>4000</v>
      </c>
      <c r="K524" s="2" t="s">
        <v>47</v>
      </c>
      <c r="L524" s="2" t="s">
        <v>20</v>
      </c>
      <c r="M524" s="17">
        <f t="shared" si="24"/>
        <v>-1194.8400000000001</v>
      </c>
      <c r="N524" s="15">
        <f t="shared" si="25"/>
        <v>-2805.16</v>
      </c>
      <c r="O524" t="str">
        <f t="shared" si="26"/>
        <v>No</v>
      </c>
    </row>
    <row r="525" spans="1:15" x14ac:dyDescent="0.3">
      <c r="A525" s="5" t="s">
        <v>635</v>
      </c>
      <c r="B525" s="6">
        <v>45587</v>
      </c>
      <c r="C525" s="5" t="s">
        <v>595</v>
      </c>
      <c r="D525" s="5" t="s">
        <v>14</v>
      </c>
      <c r="E525" s="5" t="s">
        <v>44</v>
      </c>
      <c r="F525" s="5" t="s">
        <v>45</v>
      </c>
      <c r="G525" s="5" t="s">
        <v>46</v>
      </c>
      <c r="H525" s="5" t="s">
        <v>18</v>
      </c>
      <c r="I525" s="14">
        <v>15383</v>
      </c>
      <c r="J525" s="7">
        <v>15000</v>
      </c>
      <c r="K525" s="5" t="s">
        <v>38</v>
      </c>
      <c r="L525" s="5" t="s">
        <v>20</v>
      </c>
      <c r="M525" s="17">
        <f t="shared" si="24"/>
        <v>383</v>
      </c>
      <c r="N525" s="15">
        <f t="shared" si="25"/>
        <v>-15383</v>
      </c>
      <c r="O525" t="str">
        <f t="shared" si="26"/>
        <v>Yes</v>
      </c>
    </row>
    <row r="526" spans="1:15" x14ac:dyDescent="0.3">
      <c r="A526" s="2" t="s">
        <v>636</v>
      </c>
      <c r="B526" s="3">
        <v>45589</v>
      </c>
      <c r="C526" s="2" t="s">
        <v>595</v>
      </c>
      <c r="D526" s="2" t="s">
        <v>54</v>
      </c>
      <c r="E526" s="2" t="s">
        <v>55</v>
      </c>
      <c r="F526" s="2" t="s">
        <v>56</v>
      </c>
      <c r="G526" s="2" t="s">
        <v>57</v>
      </c>
      <c r="H526" s="2" t="s">
        <v>37</v>
      </c>
      <c r="I526" s="12">
        <v>51055.22</v>
      </c>
      <c r="J526" s="4">
        <v>0</v>
      </c>
      <c r="K526" s="2" t="s">
        <v>19</v>
      </c>
      <c r="L526" s="2" t="s">
        <v>20</v>
      </c>
      <c r="M526" s="17" t="str">
        <f t="shared" si="24"/>
        <v>0</v>
      </c>
      <c r="N526" s="15">
        <f t="shared" si="25"/>
        <v>51055.22</v>
      </c>
      <c r="O526" t="str">
        <f t="shared" si="26"/>
        <v>Yes</v>
      </c>
    </row>
    <row r="527" spans="1:15" x14ac:dyDescent="0.3">
      <c r="A527" s="5" t="s">
        <v>637</v>
      </c>
      <c r="B527" s="6">
        <v>45590</v>
      </c>
      <c r="C527" s="5" t="s">
        <v>595</v>
      </c>
      <c r="D527" s="5" t="s">
        <v>14</v>
      </c>
      <c r="E527" s="5" t="s">
        <v>44</v>
      </c>
      <c r="F527" s="5" t="s">
        <v>45</v>
      </c>
      <c r="G527" s="5" t="s">
        <v>46</v>
      </c>
      <c r="H527" s="5" t="s">
        <v>18</v>
      </c>
      <c r="I527" s="14">
        <v>11393.97</v>
      </c>
      <c r="J527" s="7">
        <v>15000</v>
      </c>
      <c r="K527" s="5" t="s">
        <v>26</v>
      </c>
      <c r="L527" s="5" t="s">
        <v>20</v>
      </c>
      <c r="M527" s="17">
        <f t="shared" si="24"/>
        <v>-3606.0300000000007</v>
      </c>
      <c r="N527" s="15">
        <f t="shared" si="25"/>
        <v>-11393.97</v>
      </c>
      <c r="O527" t="str">
        <f t="shared" si="26"/>
        <v>No</v>
      </c>
    </row>
    <row r="528" spans="1:15" x14ac:dyDescent="0.3">
      <c r="A528" s="2" t="s">
        <v>638</v>
      </c>
      <c r="B528" s="3">
        <v>45590</v>
      </c>
      <c r="C528" s="2" t="s">
        <v>595</v>
      </c>
      <c r="D528" s="2" t="s">
        <v>14</v>
      </c>
      <c r="E528" s="2" t="s">
        <v>15</v>
      </c>
      <c r="F528" s="2" t="s">
        <v>16</v>
      </c>
      <c r="G528" s="2" t="s">
        <v>17</v>
      </c>
      <c r="H528" s="2" t="s">
        <v>37</v>
      </c>
      <c r="I528" s="12">
        <v>13294.69</v>
      </c>
      <c r="J528" s="4">
        <v>12000</v>
      </c>
      <c r="K528" s="2" t="s">
        <v>19</v>
      </c>
      <c r="L528" s="2" t="s">
        <v>20</v>
      </c>
      <c r="M528" s="17">
        <f t="shared" si="24"/>
        <v>1294.6900000000005</v>
      </c>
      <c r="N528" s="15">
        <f t="shared" si="25"/>
        <v>-13294.69</v>
      </c>
      <c r="O528" t="str">
        <f t="shared" si="26"/>
        <v>Yes</v>
      </c>
    </row>
    <row r="529" spans="1:15" x14ac:dyDescent="0.3">
      <c r="A529" s="5" t="s">
        <v>639</v>
      </c>
      <c r="B529" s="6">
        <v>45591</v>
      </c>
      <c r="C529" s="5" t="s">
        <v>595</v>
      </c>
      <c r="D529" s="5" t="s">
        <v>14</v>
      </c>
      <c r="E529" s="5" t="s">
        <v>22</v>
      </c>
      <c r="F529" s="5" t="s">
        <v>23</v>
      </c>
      <c r="G529" s="5" t="s">
        <v>24</v>
      </c>
      <c r="H529" s="5" t="s">
        <v>37</v>
      </c>
      <c r="I529" s="14">
        <v>1896.93</v>
      </c>
      <c r="J529" s="7">
        <v>2500</v>
      </c>
      <c r="K529" s="5" t="s">
        <v>38</v>
      </c>
      <c r="L529" s="5" t="s">
        <v>27</v>
      </c>
      <c r="M529" s="17">
        <f t="shared" si="24"/>
        <v>-603.06999999999994</v>
      </c>
      <c r="N529" s="15">
        <f t="shared" si="25"/>
        <v>-1896.93</v>
      </c>
      <c r="O529" t="str">
        <f t="shared" si="26"/>
        <v>No</v>
      </c>
    </row>
    <row r="530" spans="1:15" x14ac:dyDescent="0.3">
      <c r="A530" s="2" t="s">
        <v>640</v>
      </c>
      <c r="B530" s="3">
        <v>45591</v>
      </c>
      <c r="C530" s="2" t="s">
        <v>595</v>
      </c>
      <c r="D530" s="2" t="s">
        <v>14</v>
      </c>
      <c r="E530" s="2" t="s">
        <v>44</v>
      </c>
      <c r="F530" s="2" t="s">
        <v>45</v>
      </c>
      <c r="G530" s="2" t="s">
        <v>46</v>
      </c>
      <c r="H530" s="2" t="s">
        <v>18</v>
      </c>
      <c r="I530" s="12">
        <v>13683.91</v>
      </c>
      <c r="J530" s="4">
        <v>15000</v>
      </c>
      <c r="K530" s="2" t="s">
        <v>38</v>
      </c>
      <c r="L530" s="2" t="s">
        <v>20</v>
      </c>
      <c r="M530" s="17">
        <f t="shared" si="24"/>
        <v>-1316.0900000000001</v>
      </c>
      <c r="N530" s="15">
        <f t="shared" si="25"/>
        <v>-13683.91</v>
      </c>
      <c r="O530" t="str">
        <f t="shared" si="26"/>
        <v>No</v>
      </c>
    </row>
    <row r="531" spans="1:15" x14ac:dyDescent="0.3">
      <c r="A531" s="5" t="s">
        <v>641</v>
      </c>
      <c r="B531" s="6">
        <v>45592</v>
      </c>
      <c r="C531" s="5" t="s">
        <v>595</v>
      </c>
      <c r="D531" s="5" t="s">
        <v>14</v>
      </c>
      <c r="E531" s="5" t="s">
        <v>15</v>
      </c>
      <c r="F531" s="5" t="s">
        <v>83</v>
      </c>
      <c r="G531" s="5" t="s">
        <v>84</v>
      </c>
      <c r="H531" s="5" t="s">
        <v>37</v>
      </c>
      <c r="I531" s="14">
        <v>12812.56</v>
      </c>
      <c r="J531" s="7">
        <v>12000</v>
      </c>
      <c r="K531" s="5" t="s">
        <v>19</v>
      </c>
      <c r="L531" s="5" t="s">
        <v>20</v>
      </c>
      <c r="M531" s="17">
        <f t="shared" si="24"/>
        <v>812.55999999999949</v>
      </c>
      <c r="N531" s="15">
        <f t="shared" si="25"/>
        <v>-12812.56</v>
      </c>
      <c r="O531" t="str">
        <f t="shared" si="26"/>
        <v>Yes</v>
      </c>
    </row>
    <row r="532" spans="1:15" x14ac:dyDescent="0.3">
      <c r="A532" s="2" t="s">
        <v>642</v>
      </c>
      <c r="B532" s="3">
        <v>45592</v>
      </c>
      <c r="C532" s="2" t="s">
        <v>595</v>
      </c>
      <c r="D532" s="2" t="s">
        <v>14</v>
      </c>
      <c r="E532" s="2" t="s">
        <v>44</v>
      </c>
      <c r="F532" s="2" t="s">
        <v>45</v>
      </c>
      <c r="G532" s="2" t="s">
        <v>46</v>
      </c>
      <c r="H532" s="2" t="s">
        <v>25</v>
      </c>
      <c r="I532" s="12">
        <v>15535</v>
      </c>
      <c r="J532" s="4">
        <v>15000</v>
      </c>
      <c r="K532" s="2" t="s">
        <v>38</v>
      </c>
      <c r="L532" s="2" t="s">
        <v>20</v>
      </c>
      <c r="M532" s="17">
        <f t="shared" si="24"/>
        <v>535</v>
      </c>
      <c r="N532" s="15">
        <f t="shared" si="25"/>
        <v>-15535</v>
      </c>
      <c r="O532" t="str">
        <f t="shared" si="26"/>
        <v>Yes</v>
      </c>
    </row>
    <row r="533" spans="1:15" x14ac:dyDescent="0.3">
      <c r="A533" s="5" t="s">
        <v>643</v>
      </c>
      <c r="B533" s="6">
        <v>45592</v>
      </c>
      <c r="C533" s="5" t="s">
        <v>595</v>
      </c>
      <c r="D533" s="5" t="s">
        <v>14</v>
      </c>
      <c r="E533" s="5" t="s">
        <v>15</v>
      </c>
      <c r="F533" s="5" t="s">
        <v>60</v>
      </c>
      <c r="G533" s="5" t="s">
        <v>61</v>
      </c>
      <c r="H533" s="5" t="s">
        <v>37</v>
      </c>
      <c r="I533" s="14">
        <v>15196.44</v>
      </c>
      <c r="J533" s="7">
        <v>12000</v>
      </c>
      <c r="K533" s="5" t="s">
        <v>38</v>
      </c>
      <c r="L533" s="5" t="s">
        <v>20</v>
      </c>
      <c r="M533" s="17">
        <f t="shared" si="24"/>
        <v>3196.4400000000005</v>
      </c>
      <c r="N533" s="15">
        <f t="shared" si="25"/>
        <v>-15196.44</v>
      </c>
      <c r="O533" t="str">
        <f t="shared" si="26"/>
        <v>Yes</v>
      </c>
    </row>
    <row r="534" spans="1:15" x14ac:dyDescent="0.3">
      <c r="A534" s="2" t="s">
        <v>644</v>
      </c>
      <c r="B534" s="3">
        <v>45592</v>
      </c>
      <c r="C534" s="2" t="s">
        <v>595</v>
      </c>
      <c r="D534" s="2" t="s">
        <v>14</v>
      </c>
      <c r="E534" s="2" t="s">
        <v>44</v>
      </c>
      <c r="F534" s="2" t="s">
        <v>45</v>
      </c>
      <c r="G534" s="2" t="s">
        <v>46</v>
      </c>
      <c r="H534" s="2" t="s">
        <v>25</v>
      </c>
      <c r="I534" s="12">
        <v>8078.1</v>
      </c>
      <c r="J534" s="4">
        <v>15000</v>
      </c>
      <c r="K534" s="2" t="s">
        <v>38</v>
      </c>
      <c r="L534" s="2" t="s">
        <v>20</v>
      </c>
      <c r="M534" s="17">
        <f t="shared" si="24"/>
        <v>-6921.9</v>
      </c>
      <c r="N534" s="15">
        <f t="shared" si="25"/>
        <v>-8078.1</v>
      </c>
      <c r="O534" t="str">
        <f t="shared" si="26"/>
        <v>No</v>
      </c>
    </row>
    <row r="535" spans="1:15" x14ac:dyDescent="0.3">
      <c r="A535" s="5" t="s">
        <v>645</v>
      </c>
      <c r="B535" s="6">
        <v>45593</v>
      </c>
      <c r="C535" s="5" t="s">
        <v>595</v>
      </c>
      <c r="D535" s="5" t="s">
        <v>14</v>
      </c>
      <c r="E535" s="5" t="s">
        <v>15</v>
      </c>
      <c r="F535" s="5" t="s">
        <v>83</v>
      </c>
      <c r="G535" s="5" t="s">
        <v>84</v>
      </c>
      <c r="H535" s="5" t="s">
        <v>25</v>
      </c>
      <c r="I535" s="14">
        <v>14971.73</v>
      </c>
      <c r="J535" s="7">
        <v>12000</v>
      </c>
      <c r="K535" s="5" t="s">
        <v>38</v>
      </c>
      <c r="L535" s="5" t="s">
        <v>20</v>
      </c>
      <c r="M535" s="17">
        <f t="shared" si="24"/>
        <v>2971.7299999999996</v>
      </c>
      <c r="N535" s="15">
        <f t="shared" si="25"/>
        <v>-14971.73</v>
      </c>
      <c r="O535" t="str">
        <f t="shared" si="26"/>
        <v>Yes</v>
      </c>
    </row>
    <row r="536" spans="1:15" x14ac:dyDescent="0.3">
      <c r="A536" s="2" t="s">
        <v>646</v>
      </c>
      <c r="B536" s="3">
        <v>45594</v>
      </c>
      <c r="C536" s="2" t="s">
        <v>595</v>
      </c>
      <c r="D536" s="2" t="s">
        <v>54</v>
      </c>
      <c r="E536" s="2" t="s">
        <v>55</v>
      </c>
      <c r="F536" s="2" t="s">
        <v>56</v>
      </c>
      <c r="G536" s="2" t="s">
        <v>57</v>
      </c>
      <c r="H536" s="2" t="s">
        <v>25</v>
      </c>
      <c r="I536" s="12">
        <v>51590.89</v>
      </c>
      <c r="J536" s="4">
        <v>0</v>
      </c>
      <c r="K536" s="2" t="s">
        <v>26</v>
      </c>
      <c r="L536" s="2" t="s">
        <v>20</v>
      </c>
      <c r="M536" s="17" t="str">
        <f t="shared" si="24"/>
        <v>0</v>
      </c>
      <c r="N536" s="15">
        <f t="shared" si="25"/>
        <v>51590.89</v>
      </c>
      <c r="O536" t="str">
        <f t="shared" si="26"/>
        <v>Yes</v>
      </c>
    </row>
    <row r="537" spans="1:15" x14ac:dyDescent="0.3">
      <c r="A537" s="5" t="s">
        <v>647</v>
      </c>
      <c r="B537" s="6">
        <v>45594</v>
      </c>
      <c r="C537" s="5" t="s">
        <v>595</v>
      </c>
      <c r="D537" s="5" t="s">
        <v>14</v>
      </c>
      <c r="E537" s="5" t="s">
        <v>15</v>
      </c>
      <c r="F537" s="5" t="s">
        <v>16</v>
      </c>
      <c r="G537" s="5" t="s">
        <v>17</v>
      </c>
      <c r="H537" s="5" t="s">
        <v>37</v>
      </c>
      <c r="I537" s="14">
        <v>12304.36</v>
      </c>
      <c r="J537" s="7">
        <v>12000</v>
      </c>
      <c r="K537" s="5" t="s">
        <v>19</v>
      </c>
      <c r="L537" s="5" t="s">
        <v>20</v>
      </c>
      <c r="M537" s="17">
        <f t="shared" si="24"/>
        <v>304.36000000000058</v>
      </c>
      <c r="N537" s="15">
        <f t="shared" si="25"/>
        <v>-12304.36</v>
      </c>
      <c r="O537" t="str">
        <f t="shared" si="26"/>
        <v>Yes</v>
      </c>
    </row>
    <row r="538" spans="1:15" x14ac:dyDescent="0.3">
      <c r="A538" s="2" t="s">
        <v>648</v>
      </c>
      <c r="B538" s="3">
        <v>45594</v>
      </c>
      <c r="C538" s="2" t="s">
        <v>595</v>
      </c>
      <c r="D538" s="2" t="s">
        <v>54</v>
      </c>
      <c r="E538" s="2" t="s">
        <v>55</v>
      </c>
      <c r="F538" s="2" t="s">
        <v>56</v>
      </c>
      <c r="G538" s="2" t="s">
        <v>57</v>
      </c>
      <c r="H538" s="2" t="s">
        <v>37</v>
      </c>
      <c r="I538" s="12">
        <v>50401.85</v>
      </c>
      <c r="J538" s="4">
        <v>0</v>
      </c>
      <c r="K538" s="2" t="s">
        <v>19</v>
      </c>
      <c r="L538" s="2" t="s">
        <v>20</v>
      </c>
      <c r="M538" s="17" t="str">
        <f t="shared" si="24"/>
        <v>0</v>
      </c>
      <c r="N538" s="15">
        <f t="shared" si="25"/>
        <v>50401.85</v>
      </c>
      <c r="O538" t="str">
        <f t="shared" si="26"/>
        <v>Yes</v>
      </c>
    </row>
    <row r="539" spans="1:15" x14ac:dyDescent="0.3">
      <c r="A539" s="5" t="s">
        <v>649</v>
      </c>
      <c r="B539" s="6">
        <v>45595</v>
      </c>
      <c r="C539" s="5" t="s">
        <v>595</v>
      </c>
      <c r="D539" s="5" t="s">
        <v>14</v>
      </c>
      <c r="E539" s="5" t="s">
        <v>15</v>
      </c>
      <c r="F539" s="5" t="s">
        <v>16</v>
      </c>
      <c r="G539" s="5" t="s">
        <v>17</v>
      </c>
      <c r="H539" s="5" t="s">
        <v>18</v>
      </c>
      <c r="I539" s="14">
        <v>10283.14</v>
      </c>
      <c r="J539" s="7">
        <v>12000</v>
      </c>
      <c r="K539" s="5" t="s">
        <v>47</v>
      </c>
      <c r="L539" s="5" t="s">
        <v>20</v>
      </c>
      <c r="M539" s="17">
        <f t="shared" si="24"/>
        <v>-1716.8600000000006</v>
      </c>
      <c r="N539" s="15">
        <f t="shared" si="25"/>
        <v>-10283.14</v>
      </c>
      <c r="O539" t="str">
        <f t="shared" si="26"/>
        <v>No</v>
      </c>
    </row>
    <row r="540" spans="1:15" x14ac:dyDescent="0.3">
      <c r="A540" s="2" t="s">
        <v>650</v>
      </c>
      <c r="B540" s="3">
        <v>45595</v>
      </c>
      <c r="C540" s="2" t="s">
        <v>595</v>
      </c>
      <c r="D540" s="2" t="s">
        <v>14</v>
      </c>
      <c r="E540" s="2" t="s">
        <v>34</v>
      </c>
      <c r="F540" s="2" t="s">
        <v>157</v>
      </c>
      <c r="G540" s="2" t="s">
        <v>158</v>
      </c>
      <c r="H540" s="2" t="s">
        <v>37</v>
      </c>
      <c r="I540" s="12">
        <v>4695.4399999999996</v>
      </c>
      <c r="J540" s="4">
        <v>4000</v>
      </c>
      <c r="K540" s="2" t="s">
        <v>38</v>
      </c>
      <c r="L540" s="2" t="s">
        <v>27</v>
      </c>
      <c r="M540" s="17">
        <f t="shared" si="24"/>
        <v>695.4399999999996</v>
      </c>
      <c r="N540" s="15">
        <f t="shared" si="25"/>
        <v>-4695.4399999999996</v>
      </c>
      <c r="O540" t="str">
        <f t="shared" si="26"/>
        <v>Yes</v>
      </c>
    </row>
    <row r="541" spans="1:15" x14ac:dyDescent="0.3">
      <c r="A541" s="5" t="s">
        <v>651</v>
      </c>
      <c r="B541" s="6">
        <v>45595</v>
      </c>
      <c r="C541" s="5" t="s">
        <v>595</v>
      </c>
      <c r="D541" s="5" t="s">
        <v>14</v>
      </c>
      <c r="E541" s="5" t="s">
        <v>112</v>
      </c>
      <c r="F541" s="5" t="s">
        <v>193</v>
      </c>
      <c r="G541" s="5" t="s">
        <v>194</v>
      </c>
      <c r="H541" s="5" t="s">
        <v>37</v>
      </c>
      <c r="I541" s="14">
        <v>5081.47</v>
      </c>
      <c r="J541" s="7">
        <v>8000</v>
      </c>
      <c r="K541" s="5" t="s">
        <v>19</v>
      </c>
      <c r="L541" s="5" t="s">
        <v>20</v>
      </c>
      <c r="M541" s="17">
        <f t="shared" si="24"/>
        <v>-2918.5299999999997</v>
      </c>
      <c r="N541" s="15">
        <f t="shared" si="25"/>
        <v>-5081.47</v>
      </c>
      <c r="O541" t="str">
        <f t="shared" si="26"/>
        <v>No</v>
      </c>
    </row>
    <row r="542" spans="1:15" x14ac:dyDescent="0.3">
      <c r="A542" s="2" t="s">
        <v>652</v>
      </c>
      <c r="B542" s="3">
        <v>45596</v>
      </c>
      <c r="C542" s="2" t="s">
        <v>595</v>
      </c>
      <c r="D542" s="2" t="s">
        <v>14</v>
      </c>
      <c r="E542" s="2" t="s">
        <v>44</v>
      </c>
      <c r="F542" s="2" t="s">
        <v>45</v>
      </c>
      <c r="G542" s="2" t="s">
        <v>46</v>
      </c>
      <c r="H542" s="2" t="s">
        <v>37</v>
      </c>
      <c r="I542" s="12">
        <v>16785.099999999999</v>
      </c>
      <c r="J542" s="4">
        <v>15000</v>
      </c>
      <c r="K542" s="2" t="s">
        <v>47</v>
      </c>
      <c r="L542" s="2" t="s">
        <v>20</v>
      </c>
      <c r="M542" s="17">
        <f t="shared" si="24"/>
        <v>1785.0999999999985</v>
      </c>
      <c r="N542" s="15">
        <f t="shared" si="25"/>
        <v>-16785.099999999999</v>
      </c>
      <c r="O542" t="str">
        <f t="shared" si="26"/>
        <v>Yes</v>
      </c>
    </row>
    <row r="543" spans="1:15" x14ac:dyDescent="0.3">
      <c r="A543" s="5" t="s">
        <v>653</v>
      </c>
      <c r="B543" s="6">
        <v>45597</v>
      </c>
      <c r="C543" s="5" t="s">
        <v>654</v>
      </c>
      <c r="D543" s="5" t="s">
        <v>14</v>
      </c>
      <c r="E543" s="5" t="s">
        <v>44</v>
      </c>
      <c r="F543" s="5" t="s">
        <v>45</v>
      </c>
      <c r="G543" s="5" t="s">
        <v>46</v>
      </c>
      <c r="H543" s="5" t="s">
        <v>25</v>
      </c>
      <c r="I543" s="14">
        <v>13697.19</v>
      </c>
      <c r="J543" s="7">
        <v>15000</v>
      </c>
      <c r="K543" s="5" t="s">
        <v>47</v>
      </c>
      <c r="L543" s="5" t="s">
        <v>20</v>
      </c>
      <c r="M543" s="17">
        <f t="shared" si="24"/>
        <v>-1302.8099999999995</v>
      </c>
      <c r="N543" s="15">
        <f t="shared" si="25"/>
        <v>-13697.19</v>
      </c>
      <c r="O543" t="str">
        <f t="shared" si="26"/>
        <v>No</v>
      </c>
    </row>
    <row r="544" spans="1:15" x14ac:dyDescent="0.3">
      <c r="A544" s="2" t="s">
        <v>655</v>
      </c>
      <c r="B544" s="3">
        <v>45598</v>
      </c>
      <c r="C544" s="2" t="s">
        <v>654</v>
      </c>
      <c r="D544" s="2" t="s">
        <v>14</v>
      </c>
      <c r="E544" s="2" t="s">
        <v>22</v>
      </c>
      <c r="F544" s="2" t="s">
        <v>66</v>
      </c>
      <c r="G544" s="2" t="s">
        <v>67</v>
      </c>
      <c r="H544" s="2" t="s">
        <v>18</v>
      </c>
      <c r="I544" s="12">
        <v>2272.16</v>
      </c>
      <c r="J544" s="4">
        <v>2500</v>
      </c>
      <c r="K544" s="2" t="s">
        <v>26</v>
      </c>
      <c r="L544" s="2" t="s">
        <v>27</v>
      </c>
      <c r="M544" s="17">
        <f t="shared" si="24"/>
        <v>-227.84000000000015</v>
      </c>
      <c r="N544" s="15">
        <f t="shared" si="25"/>
        <v>-2272.16</v>
      </c>
      <c r="O544" t="str">
        <f t="shared" si="26"/>
        <v>No</v>
      </c>
    </row>
    <row r="545" spans="1:15" x14ac:dyDescent="0.3">
      <c r="A545" s="5" t="s">
        <v>656</v>
      </c>
      <c r="B545" s="6">
        <v>45598</v>
      </c>
      <c r="C545" s="5" t="s">
        <v>654</v>
      </c>
      <c r="D545" s="5" t="s">
        <v>14</v>
      </c>
      <c r="E545" s="5" t="s">
        <v>34</v>
      </c>
      <c r="F545" s="5" t="s">
        <v>94</v>
      </c>
      <c r="G545" s="5" t="s">
        <v>95</v>
      </c>
      <c r="H545" s="5" t="s">
        <v>37</v>
      </c>
      <c r="I545" s="14">
        <v>3207.42</v>
      </c>
      <c r="J545" s="7">
        <v>4000</v>
      </c>
      <c r="K545" s="5" t="s">
        <v>26</v>
      </c>
      <c r="L545" s="5" t="s">
        <v>27</v>
      </c>
      <c r="M545" s="17">
        <f t="shared" si="24"/>
        <v>-792.57999999999993</v>
      </c>
      <c r="N545" s="15">
        <f t="shared" si="25"/>
        <v>-3207.42</v>
      </c>
      <c r="O545" t="str">
        <f t="shared" si="26"/>
        <v>No</v>
      </c>
    </row>
    <row r="546" spans="1:15" x14ac:dyDescent="0.3">
      <c r="A546" s="2" t="s">
        <v>657</v>
      </c>
      <c r="B546" s="3">
        <v>45599</v>
      </c>
      <c r="C546" s="2" t="s">
        <v>654</v>
      </c>
      <c r="D546" s="2" t="s">
        <v>14</v>
      </c>
      <c r="E546" s="2" t="s">
        <v>49</v>
      </c>
      <c r="F546" s="2" t="s">
        <v>77</v>
      </c>
      <c r="G546" s="2" t="s">
        <v>78</v>
      </c>
      <c r="H546" s="2" t="s">
        <v>25</v>
      </c>
      <c r="I546" s="12">
        <v>3636.56</v>
      </c>
      <c r="J546" s="4">
        <v>3500</v>
      </c>
      <c r="K546" s="2" t="s">
        <v>26</v>
      </c>
      <c r="L546" s="2" t="s">
        <v>27</v>
      </c>
      <c r="M546" s="17">
        <f t="shared" si="24"/>
        <v>136.55999999999995</v>
      </c>
      <c r="N546" s="15">
        <f t="shared" si="25"/>
        <v>-3636.56</v>
      </c>
      <c r="O546" t="str">
        <f t="shared" si="26"/>
        <v>Yes</v>
      </c>
    </row>
    <row r="547" spans="1:15" x14ac:dyDescent="0.3">
      <c r="A547" s="5" t="s">
        <v>658</v>
      </c>
      <c r="B547" s="6">
        <v>45600</v>
      </c>
      <c r="C547" s="5" t="s">
        <v>654</v>
      </c>
      <c r="D547" s="5" t="s">
        <v>14</v>
      </c>
      <c r="E547" s="5" t="s">
        <v>15</v>
      </c>
      <c r="F547" s="5" t="s">
        <v>83</v>
      </c>
      <c r="G547" s="5" t="s">
        <v>84</v>
      </c>
      <c r="H547" s="5" t="s">
        <v>37</v>
      </c>
      <c r="I547" s="14">
        <v>6565.87</v>
      </c>
      <c r="J547" s="7">
        <v>12000</v>
      </c>
      <c r="K547" s="5" t="s">
        <v>19</v>
      </c>
      <c r="L547" s="5" t="s">
        <v>20</v>
      </c>
      <c r="M547" s="17">
        <f t="shared" si="24"/>
        <v>-5434.13</v>
      </c>
      <c r="N547" s="15">
        <f t="shared" si="25"/>
        <v>-6565.87</v>
      </c>
      <c r="O547" t="str">
        <f t="shared" si="26"/>
        <v>No</v>
      </c>
    </row>
    <row r="548" spans="1:15" x14ac:dyDescent="0.3">
      <c r="A548" s="2" t="s">
        <v>659</v>
      </c>
      <c r="B548" s="3">
        <v>45600</v>
      </c>
      <c r="C548" s="2" t="s">
        <v>654</v>
      </c>
      <c r="D548" s="2" t="s">
        <v>14</v>
      </c>
      <c r="E548" s="2" t="s">
        <v>40</v>
      </c>
      <c r="F548" s="2" t="s">
        <v>41</v>
      </c>
      <c r="G548" s="2" t="s">
        <v>42</v>
      </c>
      <c r="H548" s="2" t="s">
        <v>18</v>
      </c>
      <c r="I548" s="12">
        <v>4149.92</v>
      </c>
      <c r="J548" s="4">
        <v>6000</v>
      </c>
      <c r="K548" s="2" t="s">
        <v>38</v>
      </c>
      <c r="L548" s="2" t="s">
        <v>20</v>
      </c>
      <c r="M548" s="17">
        <f t="shared" si="24"/>
        <v>-1850.08</v>
      </c>
      <c r="N548" s="15">
        <f t="shared" si="25"/>
        <v>-4149.92</v>
      </c>
      <c r="O548" t="str">
        <f t="shared" si="26"/>
        <v>No</v>
      </c>
    </row>
    <row r="549" spans="1:15" x14ac:dyDescent="0.3">
      <c r="A549" s="5" t="s">
        <v>660</v>
      </c>
      <c r="B549" s="6">
        <v>45601</v>
      </c>
      <c r="C549" s="5" t="s">
        <v>654</v>
      </c>
      <c r="D549" s="5" t="s">
        <v>14</v>
      </c>
      <c r="E549" s="5" t="s">
        <v>104</v>
      </c>
      <c r="F549" s="5" t="s">
        <v>105</v>
      </c>
      <c r="G549" s="5" t="s">
        <v>106</v>
      </c>
      <c r="H549" s="5" t="s">
        <v>18</v>
      </c>
      <c r="I549" s="14">
        <v>1990.13</v>
      </c>
      <c r="J549" s="7">
        <v>2000</v>
      </c>
      <c r="K549" s="5" t="s">
        <v>47</v>
      </c>
      <c r="L549" s="5" t="s">
        <v>20</v>
      </c>
      <c r="M549" s="17">
        <f t="shared" si="24"/>
        <v>-9.8699999999998909</v>
      </c>
      <c r="N549" s="15">
        <f t="shared" si="25"/>
        <v>-1990.13</v>
      </c>
      <c r="O549" t="str">
        <f t="shared" si="26"/>
        <v>No</v>
      </c>
    </row>
    <row r="550" spans="1:15" x14ac:dyDescent="0.3">
      <c r="A550" s="2" t="s">
        <v>661</v>
      </c>
      <c r="B550" s="3">
        <v>45601</v>
      </c>
      <c r="C550" s="2" t="s">
        <v>654</v>
      </c>
      <c r="D550" s="2" t="s">
        <v>14</v>
      </c>
      <c r="E550" s="2" t="s">
        <v>34</v>
      </c>
      <c r="F550" s="2" t="s">
        <v>157</v>
      </c>
      <c r="G550" s="2" t="s">
        <v>158</v>
      </c>
      <c r="H550" s="2" t="s">
        <v>25</v>
      </c>
      <c r="I550" s="12">
        <v>2810.89</v>
      </c>
      <c r="J550" s="4">
        <v>4000</v>
      </c>
      <c r="K550" s="2" t="s">
        <v>47</v>
      </c>
      <c r="L550" s="2" t="s">
        <v>27</v>
      </c>
      <c r="M550" s="17">
        <f t="shared" si="24"/>
        <v>-1189.1100000000001</v>
      </c>
      <c r="N550" s="15">
        <f t="shared" si="25"/>
        <v>-2810.89</v>
      </c>
      <c r="O550" t="str">
        <f t="shared" si="26"/>
        <v>No</v>
      </c>
    </row>
    <row r="551" spans="1:15" x14ac:dyDescent="0.3">
      <c r="A551" s="5" t="s">
        <v>662</v>
      </c>
      <c r="B551" s="6">
        <v>45601</v>
      </c>
      <c r="C551" s="5" t="s">
        <v>654</v>
      </c>
      <c r="D551" s="5" t="s">
        <v>54</v>
      </c>
      <c r="E551" s="5" t="s">
        <v>55</v>
      </c>
      <c r="F551" s="5" t="s">
        <v>56</v>
      </c>
      <c r="G551" s="5" t="s">
        <v>57</v>
      </c>
      <c r="H551" s="5" t="s">
        <v>32</v>
      </c>
      <c r="I551" s="14">
        <v>50433.95</v>
      </c>
      <c r="J551" s="7">
        <v>0</v>
      </c>
      <c r="K551" s="5" t="s">
        <v>38</v>
      </c>
      <c r="L551" s="5" t="s">
        <v>20</v>
      </c>
      <c r="M551" s="17" t="str">
        <f t="shared" si="24"/>
        <v>0</v>
      </c>
      <c r="N551" s="15">
        <f t="shared" si="25"/>
        <v>50433.95</v>
      </c>
      <c r="O551" t="str">
        <f t="shared" si="26"/>
        <v>Yes</v>
      </c>
    </row>
    <row r="552" spans="1:15" x14ac:dyDescent="0.3">
      <c r="A552" s="2" t="s">
        <v>663</v>
      </c>
      <c r="B552" s="3">
        <v>45602</v>
      </c>
      <c r="C552" s="2" t="s">
        <v>654</v>
      </c>
      <c r="D552" s="2" t="s">
        <v>54</v>
      </c>
      <c r="E552" s="2" t="s">
        <v>55</v>
      </c>
      <c r="F552" s="2" t="s">
        <v>56</v>
      </c>
      <c r="G552" s="2" t="s">
        <v>57</v>
      </c>
      <c r="H552" s="2" t="s">
        <v>37</v>
      </c>
      <c r="I552" s="12">
        <v>42681.7</v>
      </c>
      <c r="J552" s="4">
        <v>0</v>
      </c>
      <c r="K552" s="2" t="s">
        <v>38</v>
      </c>
      <c r="L552" s="2" t="s">
        <v>20</v>
      </c>
      <c r="M552" s="17" t="str">
        <f t="shared" si="24"/>
        <v>0</v>
      </c>
      <c r="N552" s="15">
        <f t="shared" si="25"/>
        <v>42681.7</v>
      </c>
      <c r="O552" t="str">
        <f t="shared" si="26"/>
        <v>Yes</v>
      </c>
    </row>
    <row r="553" spans="1:15" x14ac:dyDescent="0.3">
      <c r="A553" s="5" t="s">
        <v>664</v>
      </c>
      <c r="B553" s="6">
        <v>45602</v>
      </c>
      <c r="C553" s="5" t="s">
        <v>654</v>
      </c>
      <c r="D553" s="5" t="s">
        <v>54</v>
      </c>
      <c r="E553" s="5" t="s">
        <v>55</v>
      </c>
      <c r="F553" s="5" t="s">
        <v>56</v>
      </c>
      <c r="G553" s="5" t="s">
        <v>57</v>
      </c>
      <c r="H553" s="5" t="s">
        <v>52</v>
      </c>
      <c r="I553" s="14">
        <v>43893.57</v>
      </c>
      <c r="J553" s="7">
        <v>0</v>
      </c>
      <c r="K553" s="5" t="s">
        <v>38</v>
      </c>
      <c r="L553" s="5" t="s">
        <v>20</v>
      </c>
      <c r="M553" s="17" t="str">
        <f t="shared" si="24"/>
        <v>0</v>
      </c>
      <c r="N553" s="15">
        <f t="shared" si="25"/>
        <v>43893.57</v>
      </c>
      <c r="O553" t="str">
        <f t="shared" si="26"/>
        <v>Yes</v>
      </c>
    </row>
    <row r="554" spans="1:15" x14ac:dyDescent="0.3">
      <c r="A554" s="2" t="s">
        <v>665</v>
      </c>
      <c r="B554" s="3">
        <v>45603</v>
      </c>
      <c r="C554" s="2" t="s">
        <v>654</v>
      </c>
      <c r="D554" s="2" t="s">
        <v>14</v>
      </c>
      <c r="E554" s="2" t="s">
        <v>34</v>
      </c>
      <c r="F554" s="2" t="s">
        <v>157</v>
      </c>
      <c r="G554" s="2" t="s">
        <v>158</v>
      </c>
      <c r="H554" s="2" t="s">
        <v>37</v>
      </c>
      <c r="I554" s="12">
        <v>3688.93</v>
      </c>
      <c r="J554" s="4">
        <v>4000</v>
      </c>
      <c r="K554" s="2" t="s">
        <v>19</v>
      </c>
      <c r="L554" s="2" t="s">
        <v>27</v>
      </c>
      <c r="M554" s="17">
        <f t="shared" si="24"/>
        <v>-311.07000000000016</v>
      </c>
      <c r="N554" s="15">
        <f t="shared" si="25"/>
        <v>-3688.93</v>
      </c>
      <c r="O554" t="str">
        <f t="shared" si="26"/>
        <v>No</v>
      </c>
    </row>
    <row r="555" spans="1:15" x14ac:dyDescent="0.3">
      <c r="A555" s="5" t="s">
        <v>666</v>
      </c>
      <c r="B555" s="6">
        <v>45603</v>
      </c>
      <c r="C555" s="5" t="s">
        <v>654</v>
      </c>
      <c r="D555" s="5" t="s">
        <v>14</v>
      </c>
      <c r="E555" s="5" t="s">
        <v>49</v>
      </c>
      <c r="F555" s="5" t="s">
        <v>77</v>
      </c>
      <c r="G555" s="5" t="s">
        <v>78</v>
      </c>
      <c r="H555" s="5" t="s">
        <v>18</v>
      </c>
      <c r="I555" s="14">
        <v>2647.86</v>
      </c>
      <c r="J555" s="7">
        <v>3500</v>
      </c>
      <c r="K555" s="5" t="s">
        <v>38</v>
      </c>
      <c r="L555" s="5" t="s">
        <v>27</v>
      </c>
      <c r="M555" s="17">
        <f t="shared" si="24"/>
        <v>-852.13999999999987</v>
      </c>
      <c r="N555" s="15">
        <f t="shared" si="25"/>
        <v>-2647.86</v>
      </c>
      <c r="O555" t="str">
        <f t="shared" si="26"/>
        <v>No</v>
      </c>
    </row>
    <row r="556" spans="1:15" x14ac:dyDescent="0.3">
      <c r="A556" s="2" t="s">
        <v>667</v>
      </c>
      <c r="B556" s="3">
        <v>45605</v>
      </c>
      <c r="C556" s="2" t="s">
        <v>654</v>
      </c>
      <c r="D556" s="2" t="s">
        <v>54</v>
      </c>
      <c r="E556" s="2" t="s">
        <v>87</v>
      </c>
      <c r="F556" s="2" t="s">
        <v>176</v>
      </c>
      <c r="G556" s="2" t="s">
        <v>177</v>
      </c>
      <c r="H556" s="2" t="s">
        <v>52</v>
      </c>
      <c r="I556" s="12">
        <v>14173.45</v>
      </c>
      <c r="J556" s="4">
        <v>0</v>
      </c>
      <c r="K556" s="2" t="s">
        <v>38</v>
      </c>
      <c r="L556" s="2" t="s">
        <v>27</v>
      </c>
      <c r="M556" s="17" t="str">
        <f t="shared" si="24"/>
        <v>0</v>
      </c>
      <c r="N556" s="15">
        <f t="shared" si="25"/>
        <v>14173.45</v>
      </c>
      <c r="O556" t="str">
        <f t="shared" si="26"/>
        <v>Yes</v>
      </c>
    </row>
    <row r="557" spans="1:15" x14ac:dyDescent="0.3">
      <c r="A557" s="5" t="s">
        <v>668</v>
      </c>
      <c r="B557" s="6">
        <v>45605</v>
      </c>
      <c r="C557" s="5" t="s">
        <v>654</v>
      </c>
      <c r="D557" s="5" t="s">
        <v>14</v>
      </c>
      <c r="E557" s="5" t="s">
        <v>104</v>
      </c>
      <c r="F557" s="5" t="s">
        <v>184</v>
      </c>
      <c r="G557" s="5" t="s">
        <v>185</v>
      </c>
      <c r="H557" s="5" t="s">
        <v>18</v>
      </c>
      <c r="I557" s="14">
        <v>1409.52</v>
      </c>
      <c r="J557" s="7">
        <v>2000</v>
      </c>
      <c r="K557" s="5" t="s">
        <v>19</v>
      </c>
      <c r="L557" s="5" t="s">
        <v>27</v>
      </c>
      <c r="M557" s="17">
        <f t="shared" si="24"/>
        <v>-590.48</v>
      </c>
      <c r="N557" s="15">
        <f t="shared" si="25"/>
        <v>-1409.52</v>
      </c>
      <c r="O557" t="str">
        <f t="shared" si="26"/>
        <v>No</v>
      </c>
    </row>
    <row r="558" spans="1:15" x14ac:dyDescent="0.3">
      <c r="A558" s="2" t="s">
        <v>669</v>
      </c>
      <c r="B558" s="3">
        <v>45605</v>
      </c>
      <c r="C558" s="2" t="s">
        <v>654</v>
      </c>
      <c r="D558" s="2" t="s">
        <v>14</v>
      </c>
      <c r="E558" s="2" t="s">
        <v>22</v>
      </c>
      <c r="F558" s="2" t="s">
        <v>154</v>
      </c>
      <c r="G558" s="2" t="s">
        <v>155</v>
      </c>
      <c r="H558" s="2" t="s">
        <v>37</v>
      </c>
      <c r="I558" s="12">
        <v>1324.78</v>
      </c>
      <c r="J558" s="4">
        <v>2500</v>
      </c>
      <c r="K558" s="2" t="s">
        <v>38</v>
      </c>
      <c r="L558" s="2" t="s">
        <v>27</v>
      </c>
      <c r="M558" s="17">
        <f t="shared" si="24"/>
        <v>-1175.22</v>
      </c>
      <c r="N558" s="15">
        <f t="shared" si="25"/>
        <v>-1324.78</v>
      </c>
      <c r="O558" t="str">
        <f t="shared" si="26"/>
        <v>No</v>
      </c>
    </row>
    <row r="559" spans="1:15" x14ac:dyDescent="0.3">
      <c r="A559" s="5" t="s">
        <v>670</v>
      </c>
      <c r="B559" s="6">
        <v>45605</v>
      </c>
      <c r="C559" s="5" t="s">
        <v>654</v>
      </c>
      <c r="D559" s="5" t="s">
        <v>14</v>
      </c>
      <c r="E559" s="5" t="s">
        <v>22</v>
      </c>
      <c r="F559" s="5" t="s">
        <v>23</v>
      </c>
      <c r="G559" s="5" t="s">
        <v>24</v>
      </c>
      <c r="H559" s="5" t="s">
        <v>18</v>
      </c>
      <c r="I559" s="14">
        <v>2977.45</v>
      </c>
      <c r="J559" s="7">
        <v>2500</v>
      </c>
      <c r="K559" s="5" t="s">
        <v>26</v>
      </c>
      <c r="L559" s="5" t="s">
        <v>20</v>
      </c>
      <c r="M559" s="17">
        <f t="shared" si="24"/>
        <v>477.44999999999982</v>
      </c>
      <c r="N559" s="15">
        <f t="shared" si="25"/>
        <v>-2977.45</v>
      </c>
      <c r="O559" t="str">
        <f t="shared" si="26"/>
        <v>Yes</v>
      </c>
    </row>
    <row r="560" spans="1:15" x14ac:dyDescent="0.3">
      <c r="A560" s="2" t="s">
        <v>671</v>
      </c>
      <c r="B560" s="3">
        <v>45606</v>
      </c>
      <c r="C560" s="2" t="s">
        <v>654</v>
      </c>
      <c r="D560" s="2" t="s">
        <v>14</v>
      </c>
      <c r="E560" s="2" t="s">
        <v>112</v>
      </c>
      <c r="F560" s="2" t="s">
        <v>135</v>
      </c>
      <c r="G560" s="2" t="s">
        <v>136</v>
      </c>
      <c r="H560" s="2" t="s">
        <v>37</v>
      </c>
      <c r="I560" s="12">
        <v>10168.469999999999</v>
      </c>
      <c r="J560" s="4">
        <v>8000</v>
      </c>
      <c r="K560" s="2" t="s">
        <v>26</v>
      </c>
      <c r="L560" s="2" t="s">
        <v>20</v>
      </c>
      <c r="M560" s="17">
        <f t="shared" si="24"/>
        <v>2168.4699999999993</v>
      </c>
      <c r="N560" s="15">
        <f t="shared" si="25"/>
        <v>-10168.469999999999</v>
      </c>
      <c r="O560" t="str">
        <f t="shared" si="26"/>
        <v>Yes</v>
      </c>
    </row>
    <row r="561" spans="1:15" x14ac:dyDescent="0.3">
      <c r="A561" s="5" t="s">
        <v>672</v>
      </c>
      <c r="B561" s="6">
        <v>45606</v>
      </c>
      <c r="C561" s="5" t="s">
        <v>654</v>
      </c>
      <c r="D561" s="5" t="s">
        <v>14</v>
      </c>
      <c r="E561" s="5" t="s">
        <v>104</v>
      </c>
      <c r="F561" s="5" t="s">
        <v>163</v>
      </c>
      <c r="G561" s="5" t="s">
        <v>164</v>
      </c>
      <c r="H561" s="5" t="s">
        <v>52</v>
      </c>
      <c r="I561" s="14">
        <v>2473.37</v>
      </c>
      <c r="J561" s="7">
        <v>2000</v>
      </c>
      <c r="K561" s="5" t="s">
        <v>47</v>
      </c>
      <c r="L561" s="5" t="s">
        <v>27</v>
      </c>
      <c r="M561" s="17">
        <f t="shared" si="24"/>
        <v>473.36999999999989</v>
      </c>
      <c r="N561" s="15">
        <f t="shared" si="25"/>
        <v>-2473.37</v>
      </c>
      <c r="O561" t="str">
        <f t="shared" si="26"/>
        <v>Yes</v>
      </c>
    </row>
    <row r="562" spans="1:15" x14ac:dyDescent="0.3">
      <c r="A562" s="2" t="s">
        <v>673</v>
      </c>
      <c r="B562" s="3">
        <v>45606</v>
      </c>
      <c r="C562" s="2" t="s">
        <v>654</v>
      </c>
      <c r="D562" s="2" t="s">
        <v>14</v>
      </c>
      <c r="E562" s="2" t="s">
        <v>22</v>
      </c>
      <c r="F562" s="2" t="s">
        <v>154</v>
      </c>
      <c r="G562" s="2" t="s">
        <v>155</v>
      </c>
      <c r="H562" s="2" t="s">
        <v>25</v>
      </c>
      <c r="I562" s="12">
        <v>1413.19</v>
      </c>
      <c r="J562" s="4">
        <v>2500</v>
      </c>
      <c r="K562" s="2" t="s">
        <v>38</v>
      </c>
      <c r="L562" s="2" t="s">
        <v>27</v>
      </c>
      <c r="M562" s="17">
        <f t="shared" si="24"/>
        <v>-1086.81</v>
      </c>
      <c r="N562" s="15">
        <f t="shared" si="25"/>
        <v>-1413.19</v>
      </c>
      <c r="O562" t="str">
        <f t="shared" si="26"/>
        <v>No</v>
      </c>
    </row>
    <row r="563" spans="1:15" x14ac:dyDescent="0.3">
      <c r="A563" s="5" t="s">
        <v>674</v>
      </c>
      <c r="B563" s="6">
        <v>45607</v>
      </c>
      <c r="C563" s="5" t="s">
        <v>654</v>
      </c>
      <c r="D563" s="5" t="s">
        <v>14</v>
      </c>
      <c r="E563" s="5" t="s">
        <v>104</v>
      </c>
      <c r="F563" s="5" t="s">
        <v>105</v>
      </c>
      <c r="G563" s="5" t="s">
        <v>106</v>
      </c>
      <c r="H563" s="5" t="s">
        <v>37</v>
      </c>
      <c r="I563" s="14">
        <v>1205.04</v>
      </c>
      <c r="J563" s="7">
        <v>2000</v>
      </c>
      <c r="K563" s="5" t="s">
        <v>26</v>
      </c>
      <c r="L563" s="5" t="s">
        <v>27</v>
      </c>
      <c r="M563" s="17">
        <f t="shared" si="24"/>
        <v>-794.96</v>
      </c>
      <c r="N563" s="15">
        <f t="shared" si="25"/>
        <v>-1205.04</v>
      </c>
      <c r="O563" t="str">
        <f t="shared" si="26"/>
        <v>No</v>
      </c>
    </row>
    <row r="564" spans="1:15" x14ac:dyDescent="0.3">
      <c r="A564" s="2" t="s">
        <v>675</v>
      </c>
      <c r="B564" s="3">
        <v>45607</v>
      </c>
      <c r="C564" s="2" t="s">
        <v>654</v>
      </c>
      <c r="D564" s="2" t="s">
        <v>14</v>
      </c>
      <c r="E564" s="2" t="s">
        <v>49</v>
      </c>
      <c r="F564" s="2" t="s">
        <v>180</v>
      </c>
      <c r="G564" s="2" t="s">
        <v>181</v>
      </c>
      <c r="H564" s="2" t="s">
        <v>18</v>
      </c>
      <c r="I564" s="12">
        <v>3861.68</v>
      </c>
      <c r="J564" s="4">
        <v>3500</v>
      </c>
      <c r="K564" s="2" t="s">
        <v>47</v>
      </c>
      <c r="L564" s="2" t="s">
        <v>27</v>
      </c>
      <c r="M564" s="17">
        <f t="shared" si="24"/>
        <v>361.67999999999984</v>
      </c>
      <c r="N564" s="15">
        <f t="shared" si="25"/>
        <v>-3861.68</v>
      </c>
      <c r="O564" t="str">
        <f t="shared" si="26"/>
        <v>Yes</v>
      </c>
    </row>
    <row r="565" spans="1:15" x14ac:dyDescent="0.3">
      <c r="A565" s="5" t="s">
        <v>676</v>
      </c>
      <c r="B565" s="6">
        <v>45608</v>
      </c>
      <c r="C565" s="5" t="s">
        <v>654</v>
      </c>
      <c r="D565" s="5" t="s">
        <v>14</v>
      </c>
      <c r="E565" s="5" t="s">
        <v>40</v>
      </c>
      <c r="F565" s="5" t="s">
        <v>97</v>
      </c>
      <c r="G565" s="5" t="s">
        <v>98</v>
      </c>
      <c r="H565" s="5" t="s">
        <v>25</v>
      </c>
      <c r="I565" s="14">
        <v>5505.17</v>
      </c>
      <c r="J565" s="7">
        <v>6000</v>
      </c>
      <c r="K565" s="5" t="s">
        <v>47</v>
      </c>
      <c r="L565" s="5" t="s">
        <v>27</v>
      </c>
      <c r="M565" s="17">
        <f t="shared" si="24"/>
        <v>-494.82999999999993</v>
      </c>
      <c r="N565" s="15">
        <f t="shared" si="25"/>
        <v>-5505.17</v>
      </c>
      <c r="O565" t="str">
        <f t="shared" si="26"/>
        <v>No</v>
      </c>
    </row>
    <row r="566" spans="1:15" x14ac:dyDescent="0.3">
      <c r="A566" s="2" t="s">
        <v>677</v>
      </c>
      <c r="B566" s="3">
        <v>45609</v>
      </c>
      <c r="C566" s="2" t="s">
        <v>654</v>
      </c>
      <c r="D566" s="2" t="s">
        <v>14</v>
      </c>
      <c r="E566" s="2" t="s">
        <v>22</v>
      </c>
      <c r="F566" s="2" t="s">
        <v>154</v>
      </c>
      <c r="G566" s="2" t="s">
        <v>155</v>
      </c>
      <c r="H566" s="2" t="s">
        <v>18</v>
      </c>
      <c r="I566" s="12">
        <v>1414.85</v>
      </c>
      <c r="J566" s="4">
        <v>2500</v>
      </c>
      <c r="K566" s="2" t="s">
        <v>19</v>
      </c>
      <c r="L566" s="2" t="s">
        <v>27</v>
      </c>
      <c r="M566" s="17">
        <f t="shared" si="24"/>
        <v>-1085.1500000000001</v>
      </c>
      <c r="N566" s="15">
        <f t="shared" si="25"/>
        <v>-1414.85</v>
      </c>
      <c r="O566" t="str">
        <f t="shared" si="26"/>
        <v>No</v>
      </c>
    </row>
    <row r="567" spans="1:15" x14ac:dyDescent="0.3">
      <c r="A567" s="5" t="s">
        <v>678</v>
      </c>
      <c r="B567" s="6">
        <v>45609</v>
      </c>
      <c r="C567" s="5" t="s">
        <v>654</v>
      </c>
      <c r="D567" s="5" t="s">
        <v>54</v>
      </c>
      <c r="E567" s="5" t="s">
        <v>87</v>
      </c>
      <c r="F567" s="5" t="s">
        <v>88</v>
      </c>
      <c r="G567" s="5" t="s">
        <v>89</v>
      </c>
      <c r="H567" s="5" t="s">
        <v>18</v>
      </c>
      <c r="I567" s="14">
        <v>9064.44</v>
      </c>
      <c r="J567" s="7">
        <v>0</v>
      </c>
      <c r="K567" s="5" t="s">
        <v>38</v>
      </c>
      <c r="L567" s="5" t="s">
        <v>27</v>
      </c>
      <c r="M567" s="17" t="str">
        <f t="shared" si="24"/>
        <v>0</v>
      </c>
      <c r="N567" s="15">
        <f t="shared" si="25"/>
        <v>9064.44</v>
      </c>
      <c r="O567" t="str">
        <f t="shared" si="26"/>
        <v>Yes</v>
      </c>
    </row>
    <row r="568" spans="1:15" x14ac:dyDescent="0.3">
      <c r="A568" s="2" t="s">
        <v>679</v>
      </c>
      <c r="B568" s="3">
        <v>45611</v>
      </c>
      <c r="C568" s="2" t="s">
        <v>654</v>
      </c>
      <c r="D568" s="2" t="s">
        <v>14</v>
      </c>
      <c r="E568" s="2" t="s">
        <v>44</v>
      </c>
      <c r="F568" s="2" t="s">
        <v>45</v>
      </c>
      <c r="G568" s="2" t="s">
        <v>46</v>
      </c>
      <c r="H568" s="2" t="s">
        <v>37</v>
      </c>
      <c r="I568" s="12">
        <v>18799.86</v>
      </c>
      <c r="J568" s="4">
        <v>15000</v>
      </c>
      <c r="K568" s="2" t="s">
        <v>38</v>
      </c>
      <c r="L568" s="2" t="s">
        <v>20</v>
      </c>
      <c r="M568" s="17">
        <f t="shared" si="24"/>
        <v>3799.8600000000006</v>
      </c>
      <c r="N568" s="15">
        <f t="shared" si="25"/>
        <v>-18799.86</v>
      </c>
      <c r="O568" t="str">
        <f t="shared" si="26"/>
        <v>Yes</v>
      </c>
    </row>
    <row r="569" spans="1:15" x14ac:dyDescent="0.3">
      <c r="A569" s="5" t="s">
        <v>680</v>
      </c>
      <c r="B569" s="6">
        <v>45611</v>
      </c>
      <c r="C569" s="5" t="s">
        <v>654</v>
      </c>
      <c r="D569" s="5" t="s">
        <v>14</v>
      </c>
      <c r="E569" s="5" t="s">
        <v>34</v>
      </c>
      <c r="F569" s="5" t="s">
        <v>94</v>
      </c>
      <c r="G569" s="5" t="s">
        <v>95</v>
      </c>
      <c r="H569" s="5" t="s">
        <v>25</v>
      </c>
      <c r="I569" s="14">
        <v>2594.0500000000002</v>
      </c>
      <c r="J569" s="7">
        <v>4000</v>
      </c>
      <c r="K569" s="5" t="s">
        <v>38</v>
      </c>
      <c r="L569" s="5" t="s">
        <v>27</v>
      </c>
      <c r="M569" s="17">
        <f t="shared" si="24"/>
        <v>-1405.9499999999998</v>
      </c>
      <c r="N569" s="15">
        <f t="shared" si="25"/>
        <v>-2594.0500000000002</v>
      </c>
      <c r="O569" t="str">
        <f t="shared" si="26"/>
        <v>No</v>
      </c>
    </row>
    <row r="570" spans="1:15" x14ac:dyDescent="0.3">
      <c r="A570" s="2" t="s">
        <v>681</v>
      </c>
      <c r="B570" s="3">
        <v>45612</v>
      </c>
      <c r="C570" s="2" t="s">
        <v>654</v>
      </c>
      <c r="D570" s="2" t="s">
        <v>14</v>
      </c>
      <c r="E570" s="2" t="s">
        <v>34</v>
      </c>
      <c r="F570" s="2" t="s">
        <v>94</v>
      </c>
      <c r="G570" s="2" t="s">
        <v>95</v>
      </c>
      <c r="H570" s="2" t="s">
        <v>37</v>
      </c>
      <c r="I570" s="12">
        <v>3364.51</v>
      </c>
      <c r="J570" s="4">
        <v>4000</v>
      </c>
      <c r="K570" s="2" t="s">
        <v>47</v>
      </c>
      <c r="L570" s="2" t="s">
        <v>20</v>
      </c>
      <c r="M570" s="17">
        <f t="shared" si="24"/>
        <v>-635.48999999999978</v>
      </c>
      <c r="N570" s="15">
        <f t="shared" si="25"/>
        <v>-3364.51</v>
      </c>
      <c r="O570" t="str">
        <f t="shared" si="26"/>
        <v>No</v>
      </c>
    </row>
    <row r="571" spans="1:15" x14ac:dyDescent="0.3">
      <c r="A571" s="5" t="s">
        <v>682</v>
      </c>
      <c r="B571" s="6">
        <v>45612</v>
      </c>
      <c r="C571" s="5" t="s">
        <v>654</v>
      </c>
      <c r="D571" s="5" t="s">
        <v>14</v>
      </c>
      <c r="E571" s="5" t="s">
        <v>49</v>
      </c>
      <c r="F571" s="5" t="s">
        <v>50</v>
      </c>
      <c r="G571" s="5" t="s">
        <v>51</v>
      </c>
      <c r="H571" s="5" t="s">
        <v>37</v>
      </c>
      <c r="I571" s="14">
        <v>4157.7</v>
      </c>
      <c r="J571" s="7">
        <v>3500</v>
      </c>
      <c r="K571" s="5" t="s">
        <v>38</v>
      </c>
      <c r="L571" s="5" t="s">
        <v>27</v>
      </c>
      <c r="M571" s="17">
        <f t="shared" si="24"/>
        <v>657.69999999999982</v>
      </c>
      <c r="N571" s="15">
        <f t="shared" si="25"/>
        <v>-4157.7</v>
      </c>
      <c r="O571" t="str">
        <f t="shared" si="26"/>
        <v>Yes</v>
      </c>
    </row>
    <row r="572" spans="1:15" x14ac:dyDescent="0.3">
      <c r="A572" s="2" t="s">
        <v>683</v>
      </c>
      <c r="B572" s="3">
        <v>45612</v>
      </c>
      <c r="C572" s="2" t="s">
        <v>654</v>
      </c>
      <c r="D572" s="2" t="s">
        <v>14</v>
      </c>
      <c r="E572" s="2" t="s">
        <v>104</v>
      </c>
      <c r="F572" s="2" t="s">
        <v>184</v>
      </c>
      <c r="G572" s="2" t="s">
        <v>185</v>
      </c>
      <c r="H572" s="2" t="s">
        <v>37</v>
      </c>
      <c r="I572" s="12">
        <v>1142.99</v>
      </c>
      <c r="J572" s="4">
        <v>2000</v>
      </c>
      <c r="K572" s="2" t="s">
        <v>47</v>
      </c>
      <c r="L572" s="2" t="s">
        <v>27</v>
      </c>
      <c r="M572" s="17">
        <f t="shared" si="24"/>
        <v>-857.01</v>
      </c>
      <c r="N572" s="15">
        <f t="shared" si="25"/>
        <v>-1142.99</v>
      </c>
      <c r="O572" t="str">
        <f t="shared" si="26"/>
        <v>No</v>
      </c>
    </row>
    <row r="573" spans="1:15" x14ac:dyDescent="0.3">
      <c r="A573" s="5" t="s">
        <v>684</v>
      </c>
      <c r="B573" s="6">
        <v>45612</v>
      </c>
      <c r="C573" s="5" t="s">
        <v>654</v>
      </c>
      <c r="D573" s="5" t="s">
        <v>14</v>
      </c>
      <c r="E573" s="5" t="s">
        <v>104</v>
      </c>
      <c r="F573" s="5" t="s">
        <v>184</v>
      </c>
      <c r="G573" s="5" t="s">
        <v>185</v>
      </c>
      <c r="H573" s="5" t="s">
        <v>18</v>
      </c>
      <c r="I573" s="14">
        <v>1087.4100000000001</v>
      </c>
      <c r="J573" s="7">
        <v>2000</v>
      </c>
      <c r="K573" s="5" t="s">
        <v>19</v>
      </c>
      <c r="L573" s="5" t="s">
        <v>27</v>
      </c>
      <c r="M573" s="17">
        <f t="shared" si="24"/>
        <v>-912.58999999999992</v>
      </c>
      <c r="N573" s="15">
        <f t="shared" si="25"/>
        <v>-1087.4100000000001</v>
      </c>
      <c r="O573" t="str">
        <f t="shared" si="26"/>
        <v>No</v>
      </c>
    </row>
    <row r="574" spans="1:15" x14ac:dyDescent="0.3">
      <c r="A574" s="2" t="s">
        <v>685</v>
      </c>
      <c r="B574" s="3">
        <v>45614</v>
      </c>
      <c r="C574" s="2" t="s">
        <v>654</v>
      </c>
      <c r="D574" s="2" t="s">
        <v>14</v>
      </c>
      <c r="E574" s="2" t="s">
        <v>29</v>
      </c>
      <c r="F574" s="2" t="s">
        <v>80</v>
      </c>
      <c r="G574" s="2" t="s">
        <v>81</v>
      </c>
      <c r="H574" s="2" t="s">
        <v>18</v>
      </c>
      <c r="I574" s="12">
        <v>2216.9499999999998</v>
      </c>
      <c r="J574" s="4">
        <v>3000</v>
      </c>
      <c r="K574" s="2" t="s">
        <v>19</v>
      </c>
      <c r="L574" s="2" t="s">
        <v>20</v>
      </c>
      <c r="M574" s="17">
        <f t="shared" si="24"/>
        <v>-783.05000000000018</v>
      </c>
      <c r="N574" s="15">
        <f t="shared" si="25"/>
        <v>-2216.9499999999998</v>
      </c>
      <c r="O574" t="str">
        <f t="shared" si="26"/>
        <v>No</v>
      </c>
    </row>
    <row r="575" spans="1:15" x14ac:dyDescent="0.3">
      <c r="A575" s="5" t="s">
        <v>686</v>
      </c>
      <c r="B575" s="6">
        <v>45615</v>
      </c>
      <c r="C575" s="5" t="s">
        <v>654</v>
      </c>
      <c r="D575" s="5" t="s">
        <v>54</v>
      </c>
      <c r="E575" s="5" t="s">
        <v>55</v>
      </c>
      <c r="F575" s="5" t="s">
        <v>56</v>
      </c>
      <c r="G575" s="5" t="s">
        <v>57</v>
      </c>
      <c r="H575" s="5" t="s">
        <v>52</v>
      </c>
      <c r="I575" s="14">
        <v>42970.09</v>
      </c>
      <c r="J575" s="7">
        <v>0</v>
      </c>
      <c r="K575" s="5" t="s">
        <v>19</v>
      </c>
      <c r="L575" s="5" t="s">
        <v>20</v>
      </c>
      <c r="M575" s="17" t="str">
        <f t="shared" si="24"/>
        <v>0</v>
      </c>
      <c r="N575" s="15">
        <f t="shared" si="25"/>
        <v>42970.09</v>
      </c>
      <c r="O575" t="str">
        <f t="shared" si="26"/>
        <v>Yes</v>
      </c>
    </row>
    <row r="576" spans="1:15" x14ac:dyDescent="0.3">
      <c r="A576" s="2" t="s">
        <v>687</v>
      </c>
      <c r="B576" s="3">
        <v>45615</v>
      </c>
      <c r="C576" s="2" t="s">
        <v>654</v>
      </c>
      <c r="D576" s="2" t="s">
        <v>14</v>
      </c>
      <c r="E576" s="2" t="s">
        <v>112</v>
      </c>
      <c r="F576" s="2" t="s">
        <v>193</v>
      </c>
      <c r="G576" s="2" t="s">
        <v>194</v>
      </c>
      <c r="H576" s="2" t="s">
        <v>37</v>
      </c>
      <c r="I576" s="12">
        <v>6830.09</v>
      </c>
      <c r="J576" s="4">
        <v>8000</v>
      </c>
      <c r="K576" s="2" t="s">
        <v>38</v>
      </c>
      <c r="L576" s="2" t="s">
        <v>20</v>
      </c>
      <c r="M576" s="17">
        <f t="shared" si="24"/>
        <v>-1169.9099999999999</v>
      </c>
      <c r="N576" s="15">
        <f t="shared" si="25"/>
        <v>-6830.09</v>
      </c>
      <c r="O576" t="str">
        <f t="shared" si="26"/>
        <v>No</v>
      </c>
    </row>
    <row r="577" spans="1:15" x14ac:dyDescent="0.3">
      <c r="A577" s="5" t="s">
        <v>688</v>
      </c>
      <c r="B577" s="6">
        <v>45616</v>
      </c>
      <c r="C577" s="5" t="s">
        <v>654</v>
      </c>
      <c r="D577" s="5" t="s">
        <v>14</v>
      </c>
      <c r="E577" s="5" t="s">
        <v>34</v>
      </c>
      <c r="F577" s="5" t="s">
        <v>157</v>
      </c>
      <c r="G577" s="5" t="s">
        <v>158</v>
      </c>
      <c r="H577" s="5" t="s">
        <v>32</v>
      </c>
      <c r="I577" s="14">
        <v>3859.28</v>
      </c>
      <c r="J577" s="7">
        <v>4000</v>
      </c>
      <c r="K577" s="5" t="s">
        <v>47</v>
      </c>
      <c r="L577" s="5" t="s">
        <v>20</v>
      </c>
      <c r="M577" s="17">
        <f t="shared" si="24"/>
        <v>-140.7199999999998</v>
      </c>
      <c r="N577" s="15">
        <f t="shared" si="25"/>
        <v>-3859.28</v>
      </c>
      <c r="O577" t="str">
        <f t="shared" si="26"/>
        <v>No</v>
      </c>
    </row>
    <row r="578" spans="1:15" x14ac:dyDescent="0.3">
      <c r="A578" s="2" t="s">
        <v>689</v>
      </c>
      <c r="B578" s="3">
        <v>45616</v>
      </c>
      <c r="C578" s="2" t="s">
        <v>654</v>
      </c>
      <c r="D578" s="2" t="s">
        <v>54</v>
      </c>
      <c r="E578" s="2" t="s">
        <v>55</v>
      </c>
      <c r="F578" s="2" t="s">
        <v>56</v>
      </c>
      <c r="G578" s="2" t="s">
        <v>57</v>
      </c>
      <c r="H578" s="2" t="s">
        <v>37</v>
      </c>
      <c r="I578" s="12">
        <v>42978.37</v>
      </c>
      <c r="J578" s="4">
        <v>0</v>
      </c>
      <c r="K578" s="2" t="s">
        <v>47</v>
      </c>
      <c r="L578" s="2" t="s">
        <v>20</v>
      </c>
      <c r="M578" s="17" t="str">
        <f t="shared" si="24"/>
        <v>0</v>
      </c>
      <c r="N578" s="15">
        <f t="shared" si="25"/>
        <v>42978.37</v>
      </c>
      <c r="O578" t="str">
        <f t="shared" si="26"/>
        <v>Yes</v>
      </c>
    </row>
    <row r="579" spans="1:15" x14ac:dyDescent="0.3">
      <c r="A579" s="5" t="s">
        <v>690</v>
      </c>
      <c r="B579" s="6">
        <v>45617</v>
      </c>
      <c r="C579" s="5" t="s">
        <v>654</v>
      </c>
      <c r="D579" s="5" t="s">
        <v>14</v>
      </c>
      <c r="E579" s="5" t="s">
        <v>40</v>
      </c>
      <c r="F579" s="5" t="s">
        <v>41</v>
      </c>
      <c r="G579" s="5" t="s">
        <v>42</v>
      </c>
      <c r="H579" s="5" t="s">
        <v>37</v>
      </c>
      <c r="I579" s="14">
        <v>5353.07</v>
      </c>
      <c r="J579" s="7">
        <v>6000</v>
      </c>
      <c r="K579" s="5" t="s">
        <v>19</v>
      </c>
      <c r="L579" s="5" t="s">
        <v>27</v>
      </c>
      <c r="M579" s="17">
        <f t="shared" ref="M579:M642" si="27">IF(J579=0,"0",I579-J579)</f>
        <v>-646.93000000000029</v>
      </c>
      <c r="N579" s="15">
        <f t="shared" ref="N579:N642" si="28">IF(D579="Income",I579,-I579)</f>
        <v>-5353.07</v>
      </c>
      <c r="O579" t="str">
        <f t="shared" ref="O579:O642" si="29">IF(M579&gt;0,"Yes","No")</f>
        <v>No</v>
      </c>
    </row>
    <row r="580" spans="1:15" x14ac:dyDescent="0.3">
      <c r="A580" s="2" t="s">
        <v>691</v>
      </c>
      <c r="B580" s="3">
        <v>45617</v>
      </c>
      <c r="C580" s="2" t="s">
        <v>654</v>
      </c>
      <c r="D580" s="2" t="s">
        <v>14</v>
      </c>
      <c r="E580" s="2" t="s">
        <v>15</v>
      </c>
      <c r="F580" s="2" t="s">
        <v>83</v>
      </c>
      <c r="G580" s="2" t="s">
        <v>84</v>
      </c>
      <c r="H580" s="2" t="s">
        <v>18</v>
      </c>
      <c r="I580" s="12">
        <v>6493.29</v>
      </c>
      <c r="J580" s="4">
        <v>12000</v>
      </c>
      <c r="K580" s="2" t="s">
        <v>26</v>
      </c>
      <c r="L580" s="2" t="s">
        <v>20</v>
      </c>
      <c r="M580" s="17">
        <f t="shared" si="27"/>
        <v>-5506.71</v>
      </c>
      <c r="N580" s="15">
        <f t="shared" si="28"/>
        <v>-6493.29</v>
      </c>
      <c r="O580" t="str">
        <f t="shared" si="29"/>
        <v>No</v>
      </c>
    </row>
    <row r="581" spans="1:15" x14ac:dyDescent="0.3">
      <c r="A581" s="5" t="s">
        <v>692</v>
      </c>
      <c r="B581" s="6">
        <v>45618</v>
      </c>
      <c r="C581" s="5" t="s">
        <v>654</v>
      </c>
      <c r="D581" s="5" t="s">
        <v>14</v>
      </c>
      <c r="E581" s="5" t="s">
        <v>112</v>
      </c>
      <c r="F581" s="5" t="s">
        <v>193</v>
      </c>
      <c r="G581" s="5" t="s">
        <v>194</v>
      </c>
      <c r="H581" s="5" t="s">
        <v>52</v>
      </c>
      <c r="I581" s="14">
        <v>7437.02</v>
      </c>
      <c r="J581" s="7">
        <v>8000</v>
      </c>
      <c r="K581" s="5" t="s">
        <v>38</v>
      </c>
      <c r="L581" s="5" t="s">
        <v>20</v>
      </c>
      <c r="M581" s="17">
        <f t="shared" si="27"/>
        <v>-562.97999999999956</v>
      </c>
      <c r="N581" s="15">
        <f t="shared" si="28"/>
        <v>-7437.02</v>
      </c>
      <c r="O581" t="str">
        <f t="shared" si="29"/>
        <v>No</v>
      </c>
    </row>
    <row r="582" spans="1:15" x14ac:dyDescent="0.3">
      <c r="A582" s="2" t="s">
        <v>693</v>
      </c>
      <c r="B582" s="3">
        <v>45618</v>
      </c>
      <c r="C582" s="2" t="s">
        <v>654</v>
      </c>
      <c r="D582" s="2" t="s">
        <v>14</v>
      </c>
      <c r="E582" s="2" t="s">
        <v>104</v>
      </c>
      <c r="F582" s="2" t="s">
        <v>184</v>
      </c>
      <c r="G582" s="2" t="s">
        <v>185</v>
      </c>
      <c r="H582" s="2" t="s">
        <v>52</v>
      </c>
      <c r="I582" s="12">
        <v>1869.87</v>
      </c>
      <c r="J582" s="4">
        <v>2000</v>
      </c>
      <c r="K582" s="2" t="s">
        <v>26</v>
      </c>
      <c r="L582" s="2" t="s">
        <v>27</v>
      </c>
      <c r="M582" s="17">
        <f t="shared" si="27"/>
        <v>-130.13000000000011</v>
      </c>
      <c r="N582" s="15">
        <f t="shared" si="28"/>
        <v>-1869.87</v>
      </c>
      <c r="O582" t="str">
        <f t="shared" si="29"/>
        <v>No</v>
      </c>
    </row>
    <row r="583" spans="1:15" x14ac:dyDescent="0.3">
      <c r="A583" s="5" t="s">
        <v>694</v>
      </c>
      <c r="B583" s="6">
        <v>45618</v>
      </c>
      <c r="C583" s="5" t="s">
        <v>654</v>
      </c>
      <c r="D583" s="5" t="s">
        <v>14</v>
      </c>
      <c r="E583" s="5" t="s">
        <v>44</v>
      </c>
      <c r="F583" s="5" t="s">
        <v>45</v>
      </c>
      <c r="G583" s="5" t="s">
        <v>46</v>
      </c>
      <c r="H583" s="5" t="s">
        <v>37</v>
      </c>
      <c r="I583" s="14">
        <v>12649.96</v>
      </c>
      <c r="J583" s="7">
        <v>15000</v>
      </c>
      <c r="K583" s="5" t="s">
        <v>47</v>
      </c>
      <c r="L583" s="5" t="s">
        <v>20</v>
      </c>
      <c r="M583" s="17">
        <f t="shared" si="27"/>
        <v>-2350.0400000000009</v>
      </c>
      <c r="N583" s="15">
        <f t="shared" si="28"/>
        <v>-12649.96</v>
      </c>
      <c r="O583" t="str">
        <f t="shared" si="29"/>
        <v>No</v>
      </c>
    </row>
    <row r="584" spans="1:15" x14ac:dyDescent="0.3">
      <c r="A584" s="2" t="s">
        <v>695</v>
      </c>
      <c r="B584" s="3">
        <v>45618</v>
      </c>
      <c r="C584" s="2" t="s">
        <v>654</v>
      </c>
      <c r="D584" s="2" t="s">
        <v>14</v>
      </c>
      <c r="E584" s="2" t="s">
        <v>15</v>
      </c>
      <c r="F584" s="2" t="s">
        <v>60</v>
      </c>
      <c r="G584" s="2" t="s">
        <v>61</v>
      </c>
      <c r="H584" s="2" t="s">
        <v>25</v>
      </c>
      <c r="I584" s="12">
        <v>13766.33</v>
      </c>
      <c r="J584" s="4">
        <v>12000</v>
      </c>
      <c r="K584" s="2" t="s">
        <v>26</v>
      </c>
      <c r="L584" s="2" t="s">
        <v>20</v>
      </c>
      <c r="M584" s="17">
        <f t="shared" si="27"/>
        <v>1766.33</v>
      </c>
      <c r="N584" s="15">
        <f t="shared" si="28"/>
        <v>-13766.33</v>
      </c>
      <c r="O584" t="str">
        <f t="shared" si="29"/>
        <v>Yes</v>
      </c>
    </row>
    <row r="585" spans="1:15" x14ac:dyDescent="0.3">
      <c r="A585" s="5" t="s">
        <v>696</v>
      </c>
      <c r="B585" s="6">
        <v>45619</v>
      </c>
      <c r="C585" s="5" t="s">
        <v>654</v>
      </c>
      <c r="D585" s="5" t="s">
        <v>14</v>
      </c>
      <c r="E585" s="5" t="s">
        <v>29</v>
      </c>
      <c r="F585" s="5" t="s">
        <v>30</v>
      </c>
      <c r="G585" s="5" t="s">
        <v>31</v>
      </c>
      <c r="H585" s="5" t="s">
        <v>18</v>
      </c>
      <c r="I585" s="14">
        <v>2588.25</v>
      </c>
      <c r="J585" s="7">
        <v>3000</v>
      </c>
      <c r="K585" s="5" t="s">
        <v>19</v>
      </c>
      <c r="L585" s="5" t="s">
        <v>20</v>
      </c>
      <c r="M585" s="17">
        <f t="shared" si="27"/>
        <v>-411.75</v>
      </c>
      <c r="N585" s="15">
        <f t="shared" si="28"/>
        <v>-2588.25</v>
      </c>
      <c r="O585" t="str">
        <f t="shared" si="29"/>
        <v>No</v>
      </c>
    </row>
    <row r="586" spans="1:15" x14ac:dyDescent="0.3">
      <c r="A586" s="2" t="s">
        <v>697</v>
      </c>
      <c r="B586" s="3">
        <v>45619</v>
      </c>
      <c r="C586" s="2" t="s">
        <v>654</v>
      </c>
      <c r="D586" s="2" t="s">
        <v>14</v>
      </c>
      <c r="E586" s="2" t="s">
        <v>22</v>
      </c>
      <c r="F586" s="2" t="s">
        <v>154</v>
      </c>
      <c r="G586" s="2" t="s">
        <v>155</v>
      </c>
      <c r="H586" s="2" t="s">
        <v>18</v>
      </c>
      <c r="I586" s="12">
        <v>2825.88</v>
      </c>
      <c r="J586" s="4">
        <v>2500</v>
      </c>
      <c r="K586" s="2" t="s">
        <v>38</v>
      </c>
      <c r="L586" s="2" t="s">
        <v>27</v>
      </c>
      <c r="M586" s="17">
        <f t="shared" si="27"/>
        <v>325.88000000000011</v>
      </c>
      <c r="N586" s="15">
        <f t="shared" si="28"/>
        <v>-2825.88</v>
      </c>
      <c r="O586" t="str">
        <f t="shared" si="29"/>
        <v>Yes</v>
      </c>
    </row>
    <row r="587" spans="1:15" x14ac:dyDescent="0.3">
      <c r="A587" s="5" t="s">
        <v>698</v>
      </c>
      <c r="B587" s="6">
        <v>45620</v>
      </c>
      <c r="C587" s="5" t="s">
        <v>654</v>
      </c>
      <c r="D587" s="5" t="s">
        <v>14</v>
      </c>
      <c r="E587" s="5" t="s">
        <v>40</v>
      </c>
      <c r="F587" s="5" t="s">
        <v>41</v>
      </c>
      <c r="G587" s="5" t="s">
        <v>42</v>
      </c>
      <c r="H587" s="5" t="s">
        <v>18</v>
      </c>
      <c r="I587" s="14">
        <v>6424.36</v>
      </c>
      <c r="J587" s="7">
        <v>6000</v>
      </c>
      <c r="K587" s="5" t="s">
        <v>26</v>
      </c>
      <c r="L587" s="5" t="s">
        <v>20</v>
      </c>
      <c r="M587" s="17">
        <f t="shared" si="27"/>
        <v>424.35999999999967</v>
      </c>
      <c r="N587" s="15">
        <f t="shared" si="28"/>
        <v>-6424.36</v>
      </c>
      <c r="O587" t="str">
        <f t="shared" si="29"/>
        <v>Yes</v>
      </c>
    </row>
    <row r="588" spans="1:15" x14ac:dyDescent="0.3">
      <c r="A588" s="2" t="s">
        <v>699</v>
      </c>
      <c r="B588" s="3">
        <v>45620</v>
      </c>
      <c r="C588" s="2" t="s">
        <v>654</v>
      </c>
      <c r="D588" s="2" t="s">
        <v>54</v>
      </c>
      <c r="E588" s="2" t="s">
        <v>55</v>
      </c>
      <c r="F588" s="2" t="s">
        <v>56</v>
      </c>
      <c r="G588" s="2" t="s">
        <v>57</v>
      </c>
      <c r="H588" s="2" t="s">
        <v>18</v>
      </c>
      <c r="I588" s="12">
        <v>54377.99</v>
      </c>
      <c r="J588" s="4">
        <v>0</v>
      </c>
      <c r="K588" s="2" t="s">
        <v>38</v>
      </c>
      <c r="L588" s="2" t="s">
        <v>20</v>
      </c>
      <c r="M588" s="17" t="str">
        <f t="shared" si="27"/>
        <v>0</v>
      </c>
      <c r="N588" s="15">
        <f t="shared" si="28"/>
        <v>54377.99</v>
      </c>
      <c r="O588" t="str">
        <f t="shared" si="29"/>
        <v>Yes</v>
      </c>
    </row>
    <row r="589" spans="1:15" x14ac:dyDescent="0.3">
      <c r="A589" s="5" t="s">
        <v>700</v>
      </c>
      <c r="B589" s="6">
        <v>45622</v>
      </c>
      <c r="C589" s="5" t="s">
        <v>654</v>
      </c>
      <c r="D589" s="5" t="s">
        <v>14</v>
      </c>
      <c r="E589" s="5" t="s">
        <v>112</v>
      </c>
      <c r="F589" s="5" t="s">
        <v>135</v>
      </c>
      <c r="G589" s="5" t="s">
        <v>136</v>
      </c>
      <c r="H589" s="5" t="s">
        <v>18</v>
      </c>
      <c r="I589" s="14">
        <v>10163.67</v>
      </c>
      <c r="J589" s="7">
        <v>8000</v>
      </c>
      <c r="K589" s="5" t="s">
        <v>38</v>
      </c>
      <c r="L589" s="5" t="s">
        <v>20</v>
      </c>
      <c r="M589" s="17">
        <f t="shared" si="27"/>
        <v>2163.67</v>
      </c>
      <c r="N589" s="15">
        <f t="shared" si="28"/>
        <v>-10163.67</v>
      </c>
      <c r="O589" t="str">
        <f t="shared" si="29"/>
        <v>Yes</v>
      </c>
    </row>
    <row r="590" spans="1:15" x14ac:dyDescent="0.3">
      <c r="A590" s="2" t="s">
        <v>701</v>
      </c>
      <c r="B590" s="3">
        <v>45623</v>
      </c>
      <c r="C590" s="2" t="s">
        <v>654</v>
      </c>
      <c r="D590" s="2" t="s">
        <v>14</v>
      </c>
      <c r="E590" s="2" t="s">
        <v>112</v>
      </c>
      <c r="F590" s="2" t="s">
        <v>113</v>
      </c>
      <c r="G590" s="2" t="s">
        <v>114</v>
      </c>
      <c r="H590" s="2" t="s">
        <v>25</v>
      </c>
      <c r="I590" s="12">
        <v>10357.700000000001</v>
      </c>
      <c r="J590" s="4">
        <v>8000</v>
      </c>
      <c r="K590" s="2" t="s">
        <v>26</v>
      </c>
      <c r="L590" s="2" t="s">
        <v>20</v>
      </c>
      <c r="M590" s="17">
        <f t="shared" si="27"/>
        <v>2357.7000000000007</v>
      </c>
      <c r="N590" s="15">
        <f t="shared" si="28"/>
        <v>-10357.700000000001</v>
      </c>
      <c r="O590" t="str">
        <f t="shared" si="29"/>
        <v>Yes</v>
      </c>
    </row>
    <row r="591" spans="1:15" x14ac:dyDescent="0.3">
      <c r="A591" s="5" t="s">
        <v>702</v>
      </c>
      <c r="B591" s="6">
        <v>45623</v>
      </c>
      <c r="C591" s="5" t="s">
        <v>654</v>
      </c>
      <c r="D591" s="5" t="s">
        <v>14</v>
      </c>
      <c r="E591" s="5" t="s">
        <v>112</v>
      </c>
      <c r="F591" s="5" t="s">
        <v>135</v>
      </c>
      <c r="G591" s="5" t="s">
        <v>136</v>
      </c>
      <c r="H591" s="5" t="s">
        <v>52</v>
      </c>
      <c r="I591" s="14">
        <v>10038.89</v>
      </c>
      <c r="J591" s="7">
        <v>8000</v>
      </c>
      <c r="K591" s="5" t="s">
        <v>26</v>
      </c>
      <c r="L591" s="5" t="s">
        <v>20</v>
      </c>
      <c r="M591" s="17">
        <f t="shared" si="27"/>
        <v>2038.8899999999994</v>
      </c>
      <c r="N591" s="15">
        <f t="shared" si="28"/>
        <v>-10038.89</v>
      </c>
      <c r="O591" t="str">
        <f t="shared" si="29"/>
        <v>Yes</v>
      </c>
    </row>
    <row r="592" spans="1:15" x14ac:dyDescent="0.3">
      <c r="A592" s="2" t="s">
        <v>703</v>
      </c>
      <c r="B592" s="3">
        <v>45623</v>
      </c>
      <c r="C592" s="2" t="s">
        <v>654</v>
      </c>
      <c r="D592" s="2" t="s">
        <v>14</v>
      </c>
      <c r="E592" s="2" t="s">
        <v>22</v>
      </c>
      <c r="F592" s="2" t="s">
        <v>66</v>
      </c>
      <c r="G592" s="2" t="s">
        <v>67</v>
      </c>
      <c r="H592" s="2" t="s">
        <v>18</v>
      </c>
      <c r="I592" s="12">
        <v>1558.44</v>
      </c>
      <c r="J592" s="4">
        <v>2500</v>
      </c>
      <c r="K592" s="2" t="s">
        <v>47</v>
      </c>
      <c r="L592" s="2" t="s">
        <v>27</v>
      </c>
      <c r="M592" s="17">
        <f t="shared" si="27"/>
        <v>-941.56</v>
      </c>
      <c r="N592" s="15">
        <f t="shared" si="28"/>
        <v>-1558.44</v>
      </c>
      <c r="O592" t="str">
        <f t="shared" si="29"/>
        <v>No</v>
      </c>
    </row>
    <row r="593" spans="1:15" x14ac:dyDescent="0.3">
      <c r="A593" s="5" t="s">
        <v>704</v>
      </c>
      <c r="B593" s="6">
        <v>45623</v>
      </c>
      <c r="C593" s="5" t="s">
        <v>654</v>
      </c>
      <c r="D593" s="5" t="s">
        <v>14</v>
      </c>
      <c r="E593" s="5" t="s">
        <v>49</v>
      </c>
      <c r="F593" s="5" t="s">
        <v>50</v>
      </c>
      <c r="G593" s="5" t="s">
        <v>51</v>
      </c>
      <c r="H593" s="5" t="s">
        <v>37</v>
      </c>
      <c r="I593" s="14">
        <v>2823.69</v>
      </c>
      <c r="J593" s="7">
        <v>3500</v>
      </c>
      <c r="K593" s="5" t="s">
        <v>47</v>
      </c>
      <c r="L593" s="5" t="s">
        <v>27</v>
      </c>
      <c r="M593" s="17">
        <f t="shared" si="27"/>
        <v>-676.31</v>
      </c>
      <c r="N593" s="15">
        <f t="shared" si="28"/>
        <v>-2823.69</v>
      </c>
      <c r="O593" t="str">
        <f t="shared" si="29"/>
        <v>No</v>
      </c>
    </row>
    <row r="594" spans="1:15" x14ac:dyDescent="0.3">
      <c r="A594" s="2" t="s">
        <v>705</v>
      </c>
      <c r="B594" s="3">
        <v>45624</v>
      </c>
      <c r="C594" s="2" t="s">
        <v>654</v>
      </c>
      <c r="D594" s="2" t="s">
        <v>14</v>
      </c>
      <c r="E594" s="2" t="s">
        <v>15</v>
      </c>
      <c r="F594" s="2" t="s">
        <v>60</v>
      </c>
      <c r="G594" s="2" t="s">
        <v>61</v>
      </c>
      <c r="H594" s="2" t="s">
        <v>37</v>
      </c>
      <c r="I594" s="12">
        <v>10939.09</v>
      </c>
      <c r="J594" s="4">
        <v>12000</v>
      </c>
      <c r="K594" s="2" t="s">
        <v>47</v>
      </c>
      <c r="L594" s="2" t="s">
        <v>20</v>
      </c>
      <c r="M594" s="17">
        <f t="shared" si="27"/>
        <v>-1060.9099999999999</v>
      </c>
      <c r="N594" s="15">
        <f t="shared" si="28"/>
        <v>-10939.09</v>
      </c>
      <c r="O594" t="str">
        <f t="shared" si="29"/>
        <v>No</v>
      </c>
    </row>
    <row r="595" spans="1:15" x14ac:dyDescent="0.3">
      <c r="A595" s="5" t="s">
        <v>706</v>
      </c>
      <c r="B595" s="6">
        <v>45624</v>
      </c>
      <c r="C595" s="5" t="s">
        <v>654</v>
      </c>
      <c r="D595" s="5" t="s">
        <v>54</v>
      </c>
      <c r="E595" s="5" t="s">
        <v>87</v>
      </c>
      <c r="F595" s="5" t="s">
        <v>88</v>
      </c>
      <c r="G595" s="5" t="s">
        <v>89</v>
      </c>
      <c r="H595" s="5" t="s">
        <v>18</v>
      </c>
      <c r="I595" s="14">
        <v>14282.23</v>
      </c>
      <c r="J595" s="7">
        <v>0</v>
      </c>
      <c r="K595" s="5" t="s">
        <v>26</v>
      </c>
      <c r="L595" s="5" t="s">
        <v>20</v>
      </c>
      <c r="M595" s="17" t="str">
        <f t="shared" si="27"/>
        <v>0</v>
      </c>
      <c r="N595" s="15">
        <f t="shared" si="28"/>
        <v>14282.23</v>
      </c>
      <c r="O595" t="str">
        <f t="shared" si="29"/>
        <v>Yes</v>
      </c>
    </row>
    <row r="596" spans="1:15" x14ac:dyDescent="0.3">
      <c r="A596" s="2" t="s">
        <v>707</v>
      </c>
      <c r="B596" s="3">
        <v>45624</v>
      </c>
      <c r="C596" s="2" t="s">
        <v>654</v>
      </c>
      <c r="D596" s="2" t="s">
        <v>14</v>
      </c>
      <c r="E596" s="2" t="s">
        <v>22</v>
      </c>
      <c r="F596" s="2" t="s">
        <v>66</v>
      </c>
      <c r="G596" s="2" t="s">
        <v>67</v>
      </c>
      <c r="H596" s="2" t="s">
        <v>37</v>
      </c>
      <c r="I596" s="12">
        <v>2684.48</v>
      </c>
      <c r="J596" s="4">
        <v>2500</v>
      </c>
      <c r="K596" s="2" t="s">
        <v>26</v>
      </c>
      <c r="L596" s="2" t="s">
        <v>27</v>
      </c>
      <c r="M596" s="17">
        <f t="shared" si="27"/>
        <v>184.48000000000002</v>
      </c>
      <c r="N596" s="15">
        <f t="shared" si="28"/>
        <v>-2684.48</v>
      </c>
      <c r="O596" t="str">
        <f t="shared" si="29"/>
        <v>Yes</v>
      </c>
    </row>
    <row r="597" spans="1:15" x14ac:dyDescent="0.3">
      <c r="A597" s="5" t="s">
        <v>708</v>
      </c>
      <c r="B597" s="6">
        <v>45625</v>
      </c>
      <c r="C597" s="5" t="s">
        <v>654</v>
      </c>
      <c r="D597" s="5" t="s">
        <v>14</v>
      </c>
      <c r="E597" s="5" t="s">
        <v>112</v>
      </c>
      <c r="F597" s="5" t="s">
        <v>193</v>
      </c>
      <c r="G597" s="5" t="s">
        <v>194</v>
      </c>
      <c r="H597" s="5" t="s">
        <v>18</v>
      </c>
      <c r="I597" s="14">
        <v>9235.44</v>
      </c>
      <c r="J597" s="7">
        <v>8000</v>
      </c>
      <c r="K597" s="5" t="s">
        <v>26</v>
      </c>
      <c r="L597" s="5" t="s">
        <v>20</v>
      </c>
      <c r="M597" s="17">
        <f t="shared" si="27"/>
        <v>1235.4400000000005</v>
      </c>
      <c r="N597" s="15">
        <f t="shared" si="28"/>
        <v>-9235.44</v>
      </c>
      <c r="O597" t="str">
        <f t="shared" si="29"/>
        <v>Yes</v>
      </c>
    </row>
    <row r="598" spans="1:15" x14ac:dyDescent="0.3">
      <c r="A598" s="2" t="s">
        <v>709</v>
      </c>
      <c r="B598" s="3">
        <v>45625</v>
      </c>
      <c r="C598" s="2" t="s">
        <v>654</v>
      </c>
      <c r="D598" s="2" t="s">
        <v>14</v>
      </c>
      <c r="E598" s="2" t="s">
        <v>40</v>
      </c>
      <c r="F598" s="2" t="s">
        <v>41</v>
      </c>
      <c r="G598" s="2" t="s">
        <v>42</v>
      </c>
      <c r="H598" s="2" t="s">
        <v>25</v>
      </c>
      <c r="I598" s="12">
        <v>6867.21</v>
      </c>
      <c r="J598" s="4">
        <v>6000</v>
      </c>
      <c r="K598" s="2" t="s">
        <v>26</v>
      </c>
      <c r="L598" s="2" t="s">
        <v>27</v>
      </c>
      <c r="M598" s="17">
        <f t="shared" si="27"/>
        <v>867.21</v>
      </c>
      <c r="N598" s="15">
        <f t="shared" si="28"/>
        <v>-6867.21</v>
      </c>
      <c r="O598" t="str">
        <f t="shared" si="29"/>
        <v>Yes</v>
      </c>
    </row>
    <row r="599" spans="1:15" x14ac:dyDescent="0.3">
      <c r="A599" s="5" t="s">
        <v>710</v>
      </c>
      <c r="B599" s="6">
        <v>45625</v>
      </c>
      <c r="C599" s="5" t="s">
        <v>654</v>
      </c>
      <c r="D599" s="5" t="s">
        <v>14</v>
      </c>
      <c r="E599" s="5" t="s">
        <v>49</v>
      </c>
      <c r="F599" s="5" t="s">
        <v>180</v>
      </c>
      <c r="G599" s="5" t="s">
        <v>181</v>
      </c>
      <c r="H599" s="5" t="s">
        <v>37</v>
      </c>
      <c r="I599" s="14">
        <v>4023.2</v>
      </c>
      <c r="J599" s="7">
        <v>3500</v>
      </c>
      <c r="K599" s="5" t="s">
        <v>38</v>
      </c>
      <c r="L599" s="5" t="s">
        <v>27</v>
      </c>
      <c r="M599" s="17">
        <f t="shared" si="27"/>
        <v>523.19999999999982</v>
      </c>
      <c r="N599" s="15">
        <f t="shared" si="28"/>
        <v>-4023.2</v>
      </c>
      <c r="O599" t="str">
        <f t="shared" si="29"/>
        <v>Yes</v>
      </c>
    </row>
    <row r="600" spans="1:15" x14ac:dyDescent="0.3">
      <c r="A600" s="2" t="s">
        <v>711</v>
      </c>
      <c r="B600" s="3">
        <v>45627</v>
      </c>
      <c r="C600" s="2" t="s">
        <v>712</v>
      </c>
      <c r="D600" s="2" t="s">
        <v>14</v>
      </c>
      <c r="E600" s="2" t="s">
        <v>15</v>
      </c>
      <c r="F600" s="2" t="s">
        <v>60</v>
      </c>
      <c r="G600" s="2" t="s">
        <v>61</v>
      </c>
      <c r="H600" s="2" t="s">
        <v>18</v>
      </c>
      <c r="I600" s="12">
        <v>6744.99</v>
      </c>
      <c r="J600" s="4">
        <v>12000</v>
      </c>
      <c r="K600" s="2" t="s">
        <v>26</v>
      </c>
      <c r="L600" s="2" t="s">
        <v>20</v>
      </c>
      <c r="M600" s="17">
        <f t="shared" si="27"/>
        <v>-5255.01</v>
      </c>
      <c r="N600" s="15">
        <f t="shared" si="28"/>
        <v>-6744.99</v>
      </c>
      <c r="O600" t="str">
        <f t="shared" si="29"/>
        <v>No</v>
      </c>
    </row>
    <row r="601" spans="1:15" x14ac:dyDescent="0.3">
      <c r="A601" s="5" t="s">
        <v>713</v>
      </c>
      <c r="B601" s="6">
        <v>45627</v>
      </c>
      <c r="C601" s="5" t="s">
        <v>712</v>
      </c>
      <c r="D601" s="5" t="s">
        <v>14</v>
      </c>
      <c r="E601" s="5" t="s">
        <v>15</v>
      </c>
      <c r="F601" s="5" t="s">
        <v>16</v>
      </c>
      <c r="G601" s="5" t="s">
        <v>17</v>
      </c>
      <c r="H601" s="5" t="s">
        <v>32</v>
      </c>
      <c r="I601" s="14">
        <v>13655.16</v>
      </c>
      <c r="J601" s="7">
        <v>12000</v>
      </c>
      <c r="K601" s="5" t="s">
        <v>26</v>
      </c>
      <c r="L601" s="5" t="s">
        <v>20</v>
      </c>
      <c r="M601" s="17">
        <f t="shared" si="27"/>
        <v>1655.1599999999999</v>
      </c>
      <c r="N601" s="15">
        <f t="shared" si="28"/>
        <v>-13655.16</v>
      </c>
      <c r="O601" t="str">
        <f t="shared" si="29"/>
        <v>Yes</v>
      </c>
    </row>
    <row r="602" spans="1:15" x14ac:dyDescent="0.3">
      <c r="A602" s="2" t="s">
        <v>714</v>
      </c>
      <c r="B602" s="3">
        <v>45627</v>
      </c>
      <c r="C602" s="2" t="s">
        <v>712</v>
      </c>
      <c r="D602" s="2" t="s">
        <v>54</v>
      </c>
      <c r="E602" s="2" t="s">
        <v>87</v>
      </c>
      <c r="F602" s="2" t="s">
        <v>88</v>
      </c>
      <c r="G602" s="2" t="s">
        <v>89</v>
      </c>
      <c r="H602" s="2" t="s">
        <v>18</v>
      </c>
      <c r="I602" s="12">
        <v>10430.83</v>
      </c>
      <c r="J602" s="4">
        <v>0</v>
      </c>
      <c r="K602" s="2" t="s">
        <v>26</v>
      </c>
      <c r="L602" s="2" t="s">
        <v>27</v>
      </c>
      <c r="M602" s="17" t="str">
        <f t="shared" si="27"/>
        <v>0</v>
      </c>
      <c r="N602" s="15">
        <f t="shared" si="28"/>
        <v>10430.83</v>
      </c>
      <c r="O602" t="str">
        <f t="shared" si="29"/>
        <v>Yes</v>
      </c>
    </row>
    <row r="603" spans="1:15" x14ac:dyDescent="0.3">
      <c r="A603" s="5" t="s">
        <v>715</v>
      </c>
      <c r="B603" s="6">
        <v>45628</v>
      </c>
      <c r="C603" s="5" t="s">
        <v>712</v>
      </c>
      <c r="D603" s="5" t="s">
        <v>54</v>
      </c>
      <c r="E603" s="5" t="s">
        <v>87</v>
      </c>
      <c r="F603" s="5" t="s">
        <v>88</v>
      </c>
      <c r="G603" s="5" t="s">
        <v>89</v>
      </c>
      <c r="H603" s="5" t="s">
        <v>52</v>
      </c>
      <c r="I603" s="14">
        <v>11642.83</v>
      </c>
      <c r="J603" s="7">
        <v>0</v>
      </c>
      <c r="K603" s="5" t="s">
        <v>47</v>
      </c>
      <c r="L603" s="5" t="s">
        <v>20</v>
      </c>
      <c r="M603" s="17" t="str">
        <f t="shared" si="27"/>
        <v>0</v>
      </c>
      <c r="N603" s="15">
        <f t="shared" si="28"/>
        <v>11642.83</v>
      </c>
      <c r="O603" t="str">
        <f t="shared" si="29"/>
        <v>Yes</v>
      </c>
    </row>
    <row r="604" spans="1:15" x14ac:dyDescent="0.3">
      <c r="A604" s="2" t="s">
        <v>716</v>
      </c>
      <c r="B604" s="3">
        <v>45628</v>
      </c>
      <c r="C604" s="2" t="s">
        <v>712</v>
      </c>
      <c r="D604" s="2" t="s">
        <v>54</v>
      </c>
      <c r="E604" s="2" t="s">
        <v>55</v>
      </c>
      <c r="F604" s="2" t="s">
        <v>56</v>
      </c>
      <c r="G604" s="2" t="s">
        <v>57</v>
      </c>
      <c r="H604" s="2" t="s">
        <v>18</v>
      </c>
      <c r="I604" s="12">
        <v>43566.5</v>
      </c>
      <c r="J604" s="4">
        <v>0</v>
      </c>
      <c r="K604" s="2" t="s">
        <v>38</v>
      </c>
      <c r="L604" s="2" t="s">
        <v>20</v>
      </c>
      <c r="M604" s="17" t="str">
        <f t="shared" si="27"/>
        <v>0</v>
      </c>
      <c r="N604" s="15">
        <f t="shared" si="28"/>
        <v>43566.5</v>
      </c>
      <c r="O604" t="str">
        <f t="shared" si="29"/>
        <v>Yes</v>
      </c>
    </row>
    <row r="605" spans="1:15" x14ac:dyDescent="0.3">
      <c r="A605" s="5" t="s">
        <v>717</v>
      </c>
      <c r="B605" s="6">
        <v>45628</v>
      </c>
      <c r="C605" s="5" t="s">
        <v>712</v>
      </c>
      <c r="D605" s="5" t="s">
        <v>14</v>
      </c>
      <c r="E605" s="5" t="s">
        <v>112</v>
      </c>
      <c r="F605" s="5" t="s">
        <v>135</v>
      </c>
      <c r="G605" s="5" t="s">
        <v>136</v>
      </c>
      <c r="H605" s="5" t="s">
        <v>52</v>
      </c>
      <c r="I605" s="14">
        <v>6484.82</v>
      </c>
      <c r="J605" s="7">
        <v>8000</v>
      </c>
      <c r="K605" s="5" t="s">
        <v>26</v>
      </c>
      <c r="L605" s="5" t="s">
        <v>20</v>
      </c>
      <c r="M605" s="17">
        <f t="shared" si="27"/>
        <v>-1515.1800000000003</v>
      </c>
      <c r="N605" s="15">
        <f t="shared" si="28"/>
        <v>-6484.82</v>
      </c>
      <c r="O605" t="str">
        <f t="shared" si="29"/>
        <v>No</v>
      </c>
    </row>
    <row r="606" spans="1:15" x14ac:dyDescent="0.3">
      <c r="A606" s="2" t="s">
        <v>718</v>
      </c>
      <c r="B606" s="3">
        <v>45628</v>
      </c>
      <c r="C606" s="2" t="s">
        <v>712</v>
      </c>
      <c r="D606" s="2" t="s">
        <v>54</v>
      </c>
      <c r="E606" s="2" t="s">
        <v>55</v>
      </c>
      <c r="F606" s="2" t="s">
        <v>56</v>
      </c>
      <c r="G606" s="2" t="s">
        <v>57</v>
      </c>
      <c r="H606" s="2" t="s">
        <v>37</v>
      </c>
      <c r="I606" s="12">
        <v>50903.46</v>
      </c>
      <c r="J606" s="4">
        <v>0</v>
      </c>
      <c r="K606" s="2" t="s">
        <v>38</v>
      </c>
      <c r="L606" s="2" t="s">
        <v>20</v>
      </c>
      <c r="M606" s="17" t="str">
        <f t="shared" si="27"/>
        <v>0</v>
      </c>
      <c r="N606" s="15">
        <f t="shared" si="28"/>
        <v>50903.46</v>
      </c>
      <c r="O606" t="str">
        <f t="shared" si="29"/>
        <v>Yes</v>
      </c>
    </row>
    <row r="607" spans="1:15" x14ac:dyDescent="0.3">
      <c r="A607" s="5" t="s">
        <v>719</v>
      </c>
      <c r="B607" s="6">
        <v>45629</v>
      </c>
      <c r="C607" s="5" t="s">
        <v>712</v>
      </c>
      <c r="D607" s="5" t="s">
        <v>14</v>
      </c>
      <c r="E607" s="5" t="s">
        <v>40</v>
      </c>
      <c r="F607" s="5" t="s">
        <v>41</v>
      </c>
      <c r="G607" s="5" t="s">
        <v>42</v>
      </c>
      <c r="H607" s="5" t="s">
        <v>37</v>
      </c>
      <c r="I607" s="14">
        <v>7297.76</v>
      </c>
      <c r="J607" s="7">
        <v>6000</v>
      </c>
      <c r="K607" s="5" t="s">
        <v>26</v>
      </c>
      <c r="L607" s="5" t="s">
        <v>27</v>
      </c>
      <c r="M607" s="17">
        <f t="shared" si="27"/>
        <v>1297.7600000000002</v>
      </c>
      <c r="N607" s="15">
        <f t="shared" si="28"/>
        <v>-7297.76</v>
      </c>
      <c r="O607" t="str">
        <f t="shared" si="29"/>
        <v>Yes</v>
      </c>
    </row>
    <row r="608" spans="1:15" x14ac:dyDescent="0.3">
      <c r="A608" s="2" t="s">
        <v>720</v>
      </c>
      <c r="B608" s="3">
        <v>45629</v>
      </c>
      <c r="C608" s="2" t="s">
        <v>712</v>
      </c>
      <c r="D608" s="2" t="s">
        <v>14</v>
      </c>
      <c r="E608" s="2" t="s">
        <v>22</v>
      </c>
      <c r="F608" s="2" t="s">
        <v>154</v>
      </c>
      <c r="G608" s="2" t="s">
        <v>155</v>
      </c>
      <c r="H608" s="2" t="s">
        <v>18</v>
      </c>
      <c r="I608" s="12">
        <v>2897.83</v>
      </c>
      <c r="J608" s="4">
        <v>2500</v>
      </c>
      <c r="K608" s="2" t="s">
        <v>26</v>
      </c>
      <c r="L608" s="2" t="s">
        <v>20</v>
      </c>
      <c r="M608" s="17">
        <f t="shared" si="27"/>
        <v>397.82999999999993</v>
      </c>
      <c r="N608" s="15">
        <f t="shared" si="28"/>
        <v>-2897.83</v>
      </c>
      <c r="O608" t="str">
        <f t="shared" si="29"/>
        <v>Yes</v>
      </c>
    </row>
    <row r="609" spans="1:15" x14ac:dyDescent="0.3">
      <c r="A609" s="5" t="s">
        <v>721</v>
      </c>
      <c r="B609" s="6">
        <v>45629</v>
      </c>
      <c r="C609" s="5" t="s">
        <v>712</v>
      </c>
      <c r="D609" s="5" t="s">
        <v>54</v>
      </c>
      <c r="E609" s="5" t="s">
        <v>55</v>
      </c>
      <c r="F609" s="5" t="s">
        <v>56</v>
      </c>
      <c r="G609" s="5" t="s">
        <v>57</v>
      </c>
      <c r="H609" s="5" t="s">
        <v>18</v>
      </c>
      <c r="I609" s="14">
        <v>43665.84</v>
      </c>
      <c r="J609" s="7">
        <v>0</v>
      </c>
      <c r="K609" s="5" t="s">
        <v>26</v>
      </c>
      <c r="L609" s="5" t="s">
        <v>20</v>
      </c>
      <c r="M609" s="17" t="str">
        <f t="shared" si="27"/>
        <v>0</v>
      </c>
      <c r="N609" s="15">
        <f t="shared" si="28"/>
        <v>43665.84</v>
      </c>
      <c r="O609" t="str">
        <f t="shared" si="29"/>
        <v>Yes</v>
      </c>
    </row>
    <row r="610" spans="1:15" x14ac:dyDescent="0.3">
      <c r="A610" s="2" t="s">
        <v>722</v>
      </c>
      <c r="B610" s="3">
        <v>45629</v>
      </c>
      <c r="C610" s="2" t="s">
        <v>712</v>
      </c>
      <c r="D610" s="2" t="s">
        <v>14</v>
      </c>
      <c r="E610" s="2" t="s">
        <v>22</v>
      </c>
      <c r="F610" s="2" t="s">
        <v>23</v>
      </c>
      <c r="G610" s="2" t="s">
        <v>24</v>
      </c>
      <c r="H610" s="2" t="s">
        <v>37</v>
      </c>
      <c r="I610" s="12">
        <v>2137.85</v>
      </c>
      <c r="J610" s="4">
        <v>2500</v>
      </c>
      <c r="K610" s="2" t="s">
        <v>19</v>
      </c>
      <c r="L610" s="2" t="s">
        <v>27</v>
      </c>
      <c r="M610" s="17">
        <f t="shared" si="27"/>
        <v>-362.15000000000009</v>
      </c>
      <c r="N610" s="15">
        <f t="shared" si="28"/>
        <v>-2137.85</v>
      </c>
      <c r="O610" t="str">
        <f t="shared" si="29"/>
        <v>No</v>
      </c>
    </row>
    <row r="611" spans="1:15" x14ac:dyDescent="0.3">
      <c r="A611" s="5" t="s">
        <v>723</v>
      </c>
      <c r="B611" s="6">
        <v>45629</v>
      </c>
      <c r="C611" s="5" t="s">
        <v>712</v>
      </c>
      <c r="D611" s="5" t="s">
        <v>14</v>
      </c>
      <c r="E611" s="5" t="s">
        <v>49</v>
      </c>
      <c r="F611" s="5" t="s">
        <v>77</v>
      </c>
      <c r="G611" s="5" t="s">
        <v>78</v>
      </c>
      <c r="H611" s="5" t="s">
        <v>37</v>
      </c>
      <c r="I611" s="14">
        <v>3847.72</v>
      </c>
      <c r="J611" s="7">
        <v>3500</v>
      </c>
      <c r="K611" s="5" t="s">
        <v>26</v>
      </c>
      <c r="L611" s="5" t="s">
        <v>27</v>
      </c>
      <c r="M611" s="17">
        <f t="shared" si="27"/>
        <v>347.7199999999998</v>
      </c>
      <c r="N611" s="15">
        <f t="shared" si="28"/>
        <v>-3847.72</v>
      </c>
      <c r="O611" t="str">
        <f t="shared" si="29"/>
        <v>Yes</v>
      </c>
    </row>
    <row r="612" spans="1:15" x14ac:dyDescent="0.3">
      <c r="A612" s="2" t="s">
        <v>724</v>
      </c>
      <c r="B612" s="3">
        <v>45630</v>
      </c>
      <c r="C612" s="2" t="s">
        <v>712</v>
      </c>
      <c r="D612" s="2" t="s">
        <v>14</v>
      </c>
      <c r="E612" s="2" t="s">
        <v>15</v>
      </c>
      <c r="F612" s="2" t="s">
        <v>60</v>
      </c>
      <c r="G612" s="2" t="s">
        <v>61</v>
      </c>
      <c r="H612" s="2" t="s">
        <v>18</v>
      </c>
      <c r="I612" s="12">
        <v>15311.87</v>
      </c>
      <c r="J612" s="4">
        <v>12000</v>
      </c>
      <c r="K612" s="2" t="s">
        <v>26</v>
      </c>
      <c r="L612" s="2" t="s">
        <v>20</v>
      </c>
      <c r="M612" s="17">
        <f t="shared" si="27"/>
        <v>3311.8700000000008</v>
      </c>
      <c r="N612" s="15">
        <f t="shared" si="28"/>
        <v>-15311.87</v>
      </c>
      <c r="O612" t="str">
        <f t="shared" si="29"/>
        <v>Yes</v>
      </c>
    </row>
    <row r="613" spans="1:15" x14ac:dyDescent="0.3">
      <c r="A613" s="5" t="s">
        <v>725</v>
      </c>
      <c r="B613" s="6">
        <v>45630</v>
      </c>
      <c r="C613" s="5" t="s">
        <v>712</v>
      </c>
      <c r="D613" s="5" t="s">
        <v>14</v>
      </c>
      <c r="E613" s="5" t="s">
        <v>40</v>
      </c>
      <c r="F613" s="5" t="s">
        <v>97</v>
      </c>
      <c r="G613" s="5" t="s">
        <v>98</v>
      </c>
      <c r="H613" s="5" t="s">
        <v>37</v>
      </c>
      <c r="I613" s="14">
        <v>6845.72</v>
      </c>
      <c r="J613" s="7">
        <v>6000</v>
      </c>
      <c r="K613" s="5" t="s">
        <v>26</v>
      </c>
      <c r="L613" s="5" t="s">
        <v>27</v>
      </c>
      <c r="M613" s="17">
        <f t="shared" si="27"/>
        <v>845.72000000000025</v>
      </c>
      <c r="N613" s="15">
        <f t="shared" si="28"/>
        <v>-6845.72</v>
      </c>
      <c r="O613" t="str">
        <f t="shared" si="29"/>
        <v>Yes</v>
      </c>
    </row>
    <row r="614" spans="1:15" x14ac:dyDescent="0.3">
      <c r="A614" s="2" t="s">
        <v>726</v>
      </c>
      <c r="B614" s="3">
        <v>45630</v>
      </c>
      <c r="C614" s="2" t="s">
        <v>712</v>
      </c>
      <c r="D614" s="2" t="s">
        <v>14</v>
      </c>
      <c r="E614" s="2" t="s">
        <v>44</v>
      </c>
      <c r="F614" s="2" t="s">
        <v>45</v>
      </c>
      <c r="G614" s="2" t="s">
        <v>46</v>
      </c>
      <c r="H614" s="2" t="s">
        <v>32</v>
      </c>
      <c r="I614" s="12">
        <v>11359.54</v>
      </c>
      <c r="J614" s="4">
        <v>15000</v>
      </c>
      <c r="K614" s="2" t="s">
        <v>47</v>
      </c>
      <c r="L614" s="2" t="s">
        <v>20</v>
      </c>
      <c r="M614" s="17">
        <f t="shared" si="27"/>
        <v>-3640.4599999999991</v>
      </c>
      <c r="N614" s="15">
        <f t="shared" si="28"/>
        <v>-11359.54</v>
      </c>
      <c r="O614" t="str">
        <f t="shared" si="29"/>
        <v>No</v>
      </c>
    </row>
    <row r="615" spans="1:15" x14ac:dyDescent="0.3">
      <c r="A615" s="5" t="s">
        <v>727</v>
      </c>
      <c r="B615" s="6">
        <v>45630</v>
      </c>
      <c r="C615" s="5" t="s">
        <v>712</v>
      </c>
      <c r="D615" s="5" t="s">
        <v>14</v>
      </c>
      <c r="E615" s="5" t="s">
        <v>40</v>
      </c>
      <c r="F615" s="5" t="s">
        <v>97</v>
      </c>
      <c r="G615" s="5" t="s">
        <v>98</v>
      </c>
      <c r="H615" s="5" t="s">
        <v>52</v>
      </c>
      <c r="I615" s="14">
        <v>7087.51</v>
      </c>
      <c r="J615" s="7">
        <v>6000</v>
      </c>
      <c r="K615" s="5" t="s">
        <v>38</v>
      </c>
      <c r="L615" s="5" t="s">
        <v>27</v>
      </c>
      <c r="M615" s="17">
        <f t="shared" si="27"/>
        <v>1087.5100000000002</v>
      </c>
      <c r="N615" s="15">
        <f t="shared" si="28"/>
        <v>-7087.51</v>
      </c>
      <c r="O615" t="str">
        <f t="shared" si="29"/>
        <v>Yes</v>
      </c>
    </row>
    <row r="616" spans="1:15" x14ac:dyDescent="0.3">
      <c r="A616" s="2" t="s">
        <v>728</v>
      </c>
      <c r="B616" s="3">
        <v>45631</v>
      </c>
      <c r="C616" s="2" t="s">
        <v>712</v>
      </c>
      <c r="D616" s="2" t="s">
        <v>14</v>
      </c>
      <c r="E616" s="2" t="s">
        <v>34</v>
      </c>
      <c r="F616" s="2" t="s">
        <v>35</v>
      </c>
      <c r="G616" s="2" t="s">
        <v>36</v>
      </c>
      <c r="H616" s="2" t="s">
        <v>37</v>
      </c>
      <c r="I616" s="12">
        <v>3356.34</v>
      </c>
      <c r="J616" s="4">
        <v>4000</v>
      </c>
      <c r="K616" s="2" t="s">
        <v>47</v>
      </c>
      <c r="L616" s="2" t="s">
        <v>27</v>
      </c>
      <c r="M616" s="17">
        <f t="shared" si="27"/>
        <v>-643.65999999999985</v>
      </c>
      <c r="N616" s="15">
        <f t="shared" si="28"/>
        <v>-3356.34</v>
      </c>
      <c r="O616" t="str">
        <f t="shared" si="29"/>
        <v>No</v>
      </c>
    </row>
    <row r="617" spans="1:15" x14ac:dyDescent="0.3">
      <c r="A617" s="5" t="s">
        <v>729</v>
      </c>
      <c r="B617" s="6">
        <v>45631</v>
      </c>
      <c r="C617" s="5" t="s">
        <v>712</v>
      </c>
      <c r="D617" s="5" t="s">
        <v>14</v>
      </c>
      <c r="E617" s="5" t="s">
        <v>49</v>
      </c>
      <c r="F617" s="5" t="s">
        <v>180</v>
      </c>
      <c r="G617" s="5" t="s">
        <v>181</v>
      </c>
      <c r="H617" s="5" t="s">
        <v>37</v>
      </c>
      <c r="I617" s="14">
        <v>4286.26</v>
      </c>
      <c r="J617" s="7">
        <v>3500</v>
      </c>
      <c r="K617" s="5" t="s">
        <v>47</v>
      </c>
      <c r="L617" s="5" t="s">
        <v>27</v>
      </c>
      <c r="M617" s="17">
        <f t="shared" si="27"/>
        <v>786.26000000000022</v>
      </c>
      <c r="N617" s="15">
        <f t="shared" si="28"/>
        <v>-4286.26</v>
      </c>
      <c r="O617" t="str">
        <f t="shared" si="29"/>
        <v>Yes</v>
      </c>
    </row>
    <row r="618" spans="1:15" x14ac:dyDescent="0.3">
      <c r="A618" s="2" t="s">
        <v>730</v>
      </c>
      <c r="B618" s="3">
        <v>45631</v>
      </c>
      <c r="C618" s="2" t="s">
        <v>712</v>
      </c>
      <c r="D618" s="2" t="s">
        <v>54</v>
      </c>
      <c r="E618" s="2" t="s">
        <v>55</v>
      </c>
      <c r="F618" s="2" t="s">
        <v>56</v>
      </c>
      <c r="G618" s="2" t="s">
        <v>57</v>
      </c>
      <c r="H618" s="2" t="s">
        <v>37</v>
      </c>
      <c r="I618" s="12">
        <v>49281.45</v>
      </c>
      <c r="J618" s="4">
        <v>0</v>
      </c>
      <c r="K618" s="2" t="s">
        <v>26</v>
      </c>
      <c r="L618" s="2" t="s">
        <v>20</v>
      </c>
      <c r="M618" s="17" t="str">
        <f t="shared" si="27"/>
        <v>0</v>
      </c>
      <c r="N618" s="15">
        <f t="shared" si="28"/>
        <v>49281.45</v>
      </c>
      <c r="O618" t="str">
        <f t="shared" si="29"/>
        <v>Yes</v>
      </c>
    </row>
    <row r="619" spans="1:15" x14ac:dyDescent="0.3">
      <c r="A619" s="5" t="s">
        <v>731</v>
      </c>
      <c r="B619" s="6">
        <v>45632</v>
      </c>
      <c r="C619" s="5" t="s">
        <v>712</v>
      </c>
      <c r="D619" s="5" t="s">
        <v>14</v>
      </c>
      <c r="E619" s="5" t="s">
        <v>15</v>
      </c>
      <c r="F619" s="5" t="s">
        <v>83</v>
      </c>
      <c r="G619" s="5" t="s">
        <v>84</v>
      </c>
      <c r="H619" s="5" t="s">
        <v>18</v>
      </c>
      <c r="I619" s="14">
        <v>9037.89</v>
      </c>
      <c r="J619" s="7">
        <v>12000</v>
      </c>
      <c r="K619" s="5" t="s">
        <v>26</v>
      </c>
      <c r="L619" s="5" t="s">
        <v>20</v>
      </c>
      <c r="M619" s="17">
        <f t="shared" si="27"/>
        <v>-2962.1100000000006</v>
      </c>
      <c r="N619" s="15">
        <f t="shared" si="28"/>
        <v>-9037.89</v>
      </c>
      <c r="O619" t="str">
        <f t="shared" si="29"/>
        <v>No</v>
      </c>
    </row>
    <row r="620" spans="1:15" x14ac:dyDescent="0.3">
      <c r="A620" s="2" t="s">
        <v>732</v>
      </c>
      <c r="B620" s="3">
        <v>45633</v>
      </c>
      <c r="C620" s="2" t="s">
        <v>712</v>
      </c>
      <c r="D620" s="2" t="s">
        <v>14</v>
      </c>
      <c r="E620" s="2" t="s">
        <v>72</v>
      </c>
      <c r="F620" s="2" t="s">
        <v>73</v>
      </c>
      <c r="G620" s="2" t="s">
        <v>74</v>
      </c>
      <c r="H620" s="2" t="s">
        <v>37</v>
      </c>
      <c r="I620" s="12">
        <v>1082.3800000000001</v>
      </c>
      <c r="J620" s="4">
        <v>2000</v>
      </c>
      <c r="K620" s="2" t="s">
        <v>47</v>
      </c>
      <c r="L620" s="2" t="s">
        <v>27</v>
      </c>
      <c r="M620" s="17">
        <f t="shared" si="27"/>
        <v>-917.61999999999989</v>
      </c>
      <c r="N620" s="15">
        <f t="shared" si="28"/>
        <v>-1082.3800000000001</v>
      </c>
      <c r="O620" t="str">
        <f t="shared" si="29"/>
        <v>No</v>
      </c>
    </row>
    <row r="621" spans="1:15" x14ac:dyDescent="0.3">
      <c r="A621" s="5" t="s">
        <v>733</v>
      </c>
      <c r="B621" s="6">
        <v>45633</v>
      </c>
      <c r="C621" s="5" t="s">
        <v>712</v>
      </c>
      <c r="D621" s="5" t="s">
        <v>14</v>
      </c>
      <c r="E621" s="5" t="s">
        <v>72</v>
      </c>
      <c r="F621" s="5" t="s">
        <v>132</v>
      </c>
      <c r="G621" s="5" t="s">
        <v>133</v>
      </c>
      <c r="H621" s="5" t="s">
        <v>37</v>
      </c>
      <c r="I621" s="14">
        <v>1897.12</v>
      </c>
      <c r="J621" s="7">
        <v>2000</v>
      </c>
      <c r="K621" s="5" t="s">
        <v>26</v>
      </c>
      <c r="L621" s="5" t="s">
        <v>27</v>
      </c>
      <c r="M621" s="17">
        <f t="shared" si="27"/>
        <v>-102.88000000000011</v>
      </c>
      <c r="N621" s="15">
        <f t="shared" si="28"/>
        <v>-1897.12</v>
      </c>
      <c r="O621" t="str">
        <f t="shared" si="29"/>
        <v>No</v>
      </c>
    </row>
    <row r="622" spans="1:15" x14ac:dyDescent="0.3">
      <c r="A622" s="2" t="s">
        <v>734</v>
      </c>
      <c r="B622" s="3">
        <v>45633</v>
      </c>
      <c r="C622" s="2" t="s">
        <v>712</v>
      </c>
      <c r="D622" s="2" t="s">
        <v>14</v>
      </c>
      <c r="E622" s="2" t="s">
        <v>112</v>
      </c>
      <c r="F622" s="2" t="s">
        <v>135</v>
      </c>
      <c r="G622" s="2" t="s">
        <v>136</v>
      </c>
      <c r="H622" s="2" t="s">
        <v>25</v>
      </c>
      <c r="I622" s="12">
        <v>10364.4</v>
      </c>
      <c r="J622" s="4">
        <v>8000</v>
      </c>
      <c r="K622" s="2" t="s">
        <v>47</v>
      </c>
      <c r="L622" s="2" t="s">
        <v>20</v>
      </c>
      <c r="M622" s="17">
        <f t="shared" si="27"/>
        <v>2364.3999999999996</v>
      </c>
      <c r="N622" s="15">
        <f t="shared" si="28"/>
        <v>-10364.4</v>
      </c>
      <c r="O622" t="str">
        <f t="shared" si="29"/>
        <v>Yes</v>
      </c>
    </row>
    <row r="623" spans="1:15" x14ac:dyDescent="0.3">
      <c r="A623" s="5" t="s">
        <v>735</v>
      </c>
      <c r="B623" s="6">
        <v>45633</v>
      </c>
      <c r="C623" s="5" t="s">
        <v>712</v>
      </c>
      <c r="D623" s="5" t="s">
        <v>14</v>
      </c>
      <c r="E623" s="5" t="s">
        <v>40</v>
      </c>
      <c r="F623" s="5" t="s">
        <v>97</v>
      </c>
      <c r="G623" s="5" t="s">
        <v>98</v>
      </c>
      <c r="H623" s="5" t="s">
        <v>37</v>
      </c>
      <c r="I623" s="14">
        <v>6286.37</v>
      </c>
      <c r="J623" s="7">
        <v>6000</v>
      </c>
      <c r="K623" s="5" t="s">
        <v>38</v>
      </c>
      <c r="L623" s="5" t="s">
        <v>20</v>
      </c>
      <c r="M623" s="17">
        <f t="shared" si="27"/>
        <v>286.36999999999989</v>
      </c>
      <c r="N623" s="15">
        <f t="shared" si="28"/>
        <v>-6286.37</v>
      </c>
      <c r="O623" t="str">
        <f t="shared" si="29"/>
        <v>Yes</v>
      </c>
    </row>
    <row r="624" spans="1:15" x14ac:dyDescent="0.3">
      <c r="A624" s="2" t="s">
        <v>736</v>
      </c>
      <c r="B624" s="3">
        <v>45634</v>
      </c>
      <c r="C624" s="2" t="s">
        <v>712</v>
      </c>
      <c r="D624" s="2" t="s">
        <v>14</v>
      </c>
      <c r="E624" s="2" t="s">
        <v>15</v>
      </c>
      <c r="F624" s="2" t="s">
        <v>60</v>
      </c>
      <c r="G624" s="2" t="s">
        <v>61</v>
      </c>
      <c r="H624" s="2" t="s">
        <v>37</v>
      </c>
      <c r="I624" s="12">
        <v>9108.69</v>
      </c>
      <c r="J624" s="4">
        <v>12000</v>
      </c>
      <c r="K624" s="2" t="s">
        <v>19</v>
      </c>
      <c r="L624" s="2" t="s">
        <v>20</v>
      </c>
      <c r="M624" s="17">
        <f t="shared" si="27"/>
        <v>-2891.3099999999995</v>
      </c>
      <c r="N624" s="15">
        <f t="shared" si="28"/>
        <v>-9108.69</v>
      </c>
      <c r="O624" t="str">
        <f t="shared" si="29"/>
        <v>No</v>
      </c>
    </row>
    <row r="625" spans="1:15" x14ac:dyDescent="0.3">
      <c r="A625" s="5" t="s">
        <v>737</v>
      </c>
      <c r="B625" s="6">
        <v>45634</v>
      </c>
      <c r="C625" s="5" t="s">
        <v>712</v>
      </c>
      <c r="D625" s="5" t="s">
        <v>14</v>
      </c>
      <c r="E625" s="5" t="s">
        <v>34</v>
      </c>
      <c r="F625" s="5" t="s">
        <v>35</v>
      </c>
      <c r="G625" s="5" t="s">
        <v>36</v>
      </c>
      <c r="H625" s="5" t="s">
        <v>18</v>
      </c>
      <c r="I625" s="14">
        <v>4422.6000000000004</v>
      </c>
      <c r="J625" s="7">
        <v>4000</v>
      </c>
      <c r="K625" s="5" t="s">
        <v>19</v>
      </c>
      <c r="L625" s="5" t="s">
        <v>20</v>
      </c>
      <c r="M625" s="17">
        <f t="shared" si="27"/>
        <v>422.60000000000036</v>
      </c>
      <c r="N625" s="15">
        <f t="shared" si="28"/>
        <v>-4422.6000000000004</v>
      </c>
      <c r="O625" t="str">
        <f t="shared" si="29"/>
        <v>Yes</v>
      </c>
    </row>
    <row r="626" spans="1:15" x14ac:dyDescent="0.3">
      <c r="A626" s="2" t="s">
        <v>738</v>
      </c>
      <c r="B626" s="3">
        <v>45635</v>
      </c>
      <c r="C626" s="2" t="s">
        <v>712</v>
      </c>
      <c r="D626" s="2" t="s">
        <v>14</v>
      </c>
      <c r="E626" s="2" t="s">
        <v>34</v>
      </c>
      <c r="F626" s="2" t="s">
        <v>157</v>
      </c>
      <c r="G626" s="2" t="s">
        <v>158</v>
      </c>
      <c r="H626" s="2" t="s">
        <v>25</v>
      </c>
      <c r="I626" s="12">
        <v>4577.41</v>
      </c>
      <c r="J626" s="4">
        <v>4000</v>
      </c>
      <c r="K626" s="2" t="s">
        <v>38</v>
      </c>
      <c r="L626" s="2" t="s">
        <v>27</v>
      </c>
      <c r="M626" s="17">
        <f t="shared" si="27"/>
        <v>577.40999999999985</v>
      </c>
      <c r="N626" s="15">
        <f t="shared" si="28"/>
        <v>-4577.41</v>
      </c>
      <c r="O626" t="str">
        <f t="shared" si="29"/>
        <v>Yes</v>
      </c>
    </row>
    <row r="627" spans="1:15" x14ac:dyDescent="0.3">
      <c r="A627" s="5" t="s">
        <v>739</v>
      </c>
      <c r="B627" s="6">
        <v>45635</v>
      </c>
      <c r="C627" s="5" t="s">
        <v>712</v>
      </c>
      <c r="D627" s="5" t="s">
        <v>14</v>
      </c>
      <c r="E627" s="5" t="s">
        <v>40</v>
      </c>
      <c r="F627" s="5" t="s">
        <v>41</v>
      </c>
      <c r="G627" s="5" t="s">
        <v>42</v>
      </c>
      <c r="H627" s="5" t="s">
        <v>37</v>
      </c>
      <c r="I627" s="14">
        <v>4385.8599999999997</v>
      </c>
      <c r="J627" s="7">
        <v>6000</v>
      </c>
      <c r="K627" s="5" t="s">
        <v>19</v>
      </c>
      <c r="L627" s="5" t="s">
        <v>27</v>
      </c>
      <c r="M627" s="17">
        <f t="shared" si="27"/>
        <v>-1614.1400000000003</v>
      </c>
      <c r="N627" s="15">
        <f t="shared" si="28"/>
        <v>-4385.8599999999997</v>
      </c>
      <c r="O627" t="str">
        <f t="shared" si="29"/>
        <v>No</v>
      </c>
    </row>
    <row r="628" spans="1:15" x14ac:dyDescent="0.3">
      <c r="A628" s="2" t="s">
        <v>740</v>
      </c>
      <c r="B628" s="3">
        <v>45636</v>
      </c>
      <c r="C628" s="2" t="s">
        <v>712</v>
      </c>
      <c r="D628" s="2" t="s">
        <v>14</v>
      </c>
      <c r="E628" s="2" t="s">
        <v>72</v>
      </c>
      <c r="F628" s="2" t="s">
        <v>132</v>
      </c>
      <c r="G628" s="2" t="s">
        <v>133</v>
      </c>
      <c r="H628" s="2" t="s">
        <v>25</v>
      </c>
      <c r="I628" s="12">
        <v>1932.24</v>
      </c>
      <c r="J628" s="4">
        <v>2000</v>
      </c>
      <c r="K628" s="2" t="s">
        <v>38</v>
      </c>
      <c r="L628" s="2" t="s">
        <v>27</v>
      </c>
      <c r="M628" s="17">
        <f t="shared" si="27"/>
        <v>-67.759999999999991</v>
      </c>
      <c r="N628" s="15">
        <f t="shared" si="28"/>
        <v>-1932.24</v>
      </c>
      <c r="O628" t="str">
        <f t="shared" si="29"/>
        <v>No</v>
      </c>
    </row>
    <row r="629" spans="1:15" x14ac:dyDescent="0.3">
      <c r="A629" s="5" t="s">
        <v>741</v>
      </c>
      <c r="B629" s="6">
        <v>45637</v>
      </c>
      <c r="C629" s="5" t="s">
        <v>712</v>
      </c>
      <c r="D629" s="5" t="s">
        <v>14</v>
      </c>
      <c r="E629" s="5" t="s">
        <v>104</v>
      </c>
      <c r="F629" s="5" t="s">
        <v>163</v>
      </c>
      <c r="G629" s="5" t="s">
        <v>164</v>
      </c>
      <c r="H629" s="5" t="s">
        <v>37</v>
      </c>
      <c r="I629" s="14">
        <v>2051.38</v>
      </c>
      <c r="J629" s="7">
        <v>2000</v>
      </c>
      <c r="K629" s="5" t="s">
        <v>47</v>
      </c>
      <c r="L629" s="5" t="s">
        <v>27</v>
      </c>
      <c r="M629" s="17">
        <f t="shared" si="27"/>
        <v>51.380000000000109</v>
      </c>
      <c r="N629" s="15">
        <f t="shared" si="28"/>
        <v>-2051.38</v>
      </c>
      <c r="O629" t="str">
        <f t="shared" si="29"/>
        <v>Yes</v>
      </c>
    </row>
    <row r="630" spans="1:15" x14ac:dyDescent="0.3">
      <c r="A630" s="2" t="s">
        <v>742</v>
      </c>
      <c r="B630" s="3">
        <v>45637</v>
      </c>
      <c r="C630" s="2" t="s">
        <v>712</v>
      </c>
      <c r="D630" s="2" t="s">
        <v>14</v>
      </c>
      <c r="E630" s="2" t="s">
        <v>40</v>
      </c>
      <c r="F630" s="2" t="s">
        <v>97</v>
      </c>
      <c r="G630" s="2" t="s">
        <v>98</v>
      </c>
      <c r="H630" s="2" t="s">
        <v>37</v>
      </c>
      <c r="I630" s="12">
        <v>5423.35</v>
      </c>
      <c r="J630" s="4">
        <v>6000</v>
      </c>
      <c r="K630" s="2" t="s">
        <v>26</v>
      </c>
      <c r="L630" s="2" t="s">
        <v>27</v>
      </c>
      <c r="M630" s="17">
        <f t="shared" si="27"/>
        <v>-576.64999999999964</v>
      </c>
      <c r="N630" s="15">
        <f t="shared" si="28"/>
        <v>-5423.35</v>
      </c>
      <c r="O630" t="str">
        <f t="shared" si="29"/>
        <v>No</v>
      </c>
    </row>
    <row r="631" spans="1:15" x14ac:dyDescent="0.3">
      <c r="A631" s="5" t="s">
        <v>743</v>
      </c>
      <c r="B631" s="6">
        <v>45637</v>
      </c>
      <c r="C631" s="5" t="s">
        <v>712</v>
      </c>
      <c r="D631" s="5" t="s">
        <v>14</v>
      </c>
      <c r="E631" s="5" t="s">
        <v>44</v>
      </c>
      <c r="F631" s="5" t="s">
        <v>45</v>
      </c>
      <c r="G631" s="5" t="s">
        <v>46</v>
      </c>
      <c r="H631" s="5" t="s">
        <v>25</v>
      </c>
      <c r="I631" s="14">
        <v>16261.25</v>
      </c>
      <c r="J631" s="7">
        <v>15000</v>
      </c>
      <c r="K631" s="5" t="s">
        <v>38</v>
      </c>
      <c r="L631" s="5" t="s">
        <v>20</v>
      </c>
      <c r="M631" s="17">
        <f t="shared" si="27"/>
        <v>1261.25</v>
      </c>
      <c r="N631" s="15">
        <f t="shared" si="28"/>
        <v>-16261.25</v>
      </c>
      <c r="O631" t="str">
        <f t="shared" si="29"/>
        <v>Yes</v>
      </c>
    </row>
    <row r="632" spans="1:15" x14ac:dyDescent="0.3">
      <c r="A632" s="2" t="s">
        <v>744</v>
      </c>
      <c r="B632" s="3">
        <v>45638</v>
      </c>
      <c r="C632" s="2" t="s">
        <v>712</v>
      </c>
      <c r="D632" s="2" t="s">
        <v>14</v>
      </c>
      <c r="E632" s="2" t="s">
        <v>104</v>
      </c>
      <c r="F632" s="2" t="s">
        <v>184</v>
      </c>
      <c r="G632" s="2" t="s">
        <v>185</v>
      </c>
      <c r="H632" s="2" t="s">
        <v>37</v>
      </c>
      <c r="I632" s="12">
        <v>1991.49</v>
      </c>
      <c r="J632" s="4">
        <v>2000</v>
      </c>
      <c r="K632" s="2" t="s">
        <v>26</v>
      </c>
      <c r="L632" s="2" t="s">
        <v>27</v>
      </c>
      <c r="M632" s="17">
        <f t="shared" si="27"/>
        <v>-8.5099999999999909</v>
      </c>
      <c r="N632" s="15">
        <f t="shared" si="28"/>
        <v>-1991.49</v>
      </c>
      <c r="O632" t="str">
        <f t="shared" si="29"/>
        <v>No</v>
      </c>
    </row>
    <row r="633" spans="1:15" x14ac:dyDescent="0.3">
      <c r="A633" s="5" t="s">
        <v>745</v>
      </c>
      <c r="B633" s="6">
        <v>45638</v>
      </c>
      <c r="C633" s="5" t="s">
        <v>712</v>
      </c>
      <c r="D633" s="5" t="s">
        <v>14</v>
      </c>
      <c r="E633" s="5" t="s">
        <v>49</v>
      </c>
      <c r="F633" s="5" t="s">
        <v>50</v>
      </c>
      <c r="G633" s="5" t="s">
        <v>51</v>
      </c>
      <c r="H633" s="5" t="s">
        <v>37</v>
      </c>
      <c r="I633" s="14">
        <v>3874.83</v>
      </c>
      <c r="J633" s="7">
        <v>3500</v>
      </c>
      <c r="K633" s="5" t="s">
        <v>38</v>
      </c>
      <c r="L633" s="5" t="s">
        <v>27</v>
      </c>
      <c r="M633" s="17">
        <f t="shared" si="27"/>
        <v>374.82999999999993</v>
      </c>
      <c r="N633" s="15">
        <f t="shared" si="28"/>
        <v>-3874.83</v>
      </c>
      <c r="O633" t="str">
        <f t="shared" si="29"/>
        <v>Yes</v>
      </c>
    </row>
    <row r="634" spans="1:15" x14ac:dyDescent="0.3">
      <c r="A634" s="2" t="s">
        <v>746</v>
      </c>
      <c r="B634" s="3">
        <v>45639</v>
      </c>
      <c r="C634" s="2" t="s">
        <v>712</v>
      </c>
      <c r="D634" s="2" t="s">
        <v>14</v>
      </c>
      <c r="E634" s="2" t="s">
        <v>34</v>
      </c>
      <c r="F634" s="2" t="s">
        <v>157</v>
      </c>
      <c r="G634" s="2" t="s">
        <v>158</v>
      </c>
      <c r="H634" s="2" t="s">
        <v>52</v>
      </c>
      <c r="I634" s="12">
        <v>4491.1899999999996</v>
      </c>
      <c r="J634" s="4">
        <v>4000</v>
      </c>
      <c r="K634" s="2" t="s">
        <v>19</v>
      </c>
      <c r="L634" s="2" t="s">
        <v>20</v>
      </c>
      <c r="M634" s="17">
        <f t="shared" si="27"/>
        <v>491.1899999999996</v>
      </c>
      <c r="N634" s="15">
        <f t="shared" si="28"/>
        <v>-4491.1899999999996</v>
      </c>
      <c r="O634" t="str">
        <f t="shared" si="29"/>
        <v>Yes</v>
      </c>
    </row>
    <row r="635" spans="1:15" x14ac:dyDescent="0.3">
      <c r="A635" s="5" t="s">
        <v>747</v>
      </c>
      <c r="B635" s="6">
        <v>45639</v>
      </c>
      <c r="C635" s="5" t="s">
        <v>712</v>
      </c>
      <c r="D635" s="5" t="s">
        <v>14</v>
      </c>
      <c r="E635" s="5" t="s">
        <v>40</v>
      </c>
      <c r="F635" s="5" t="s">
        <v>41</v>
      </c>
      <c r="G635" s="5" t="s">
        <v>42</v>
      </c>
      <c r="H635" s="5" t="s">
        <v>37</v>
      </c>
      <c r="I635" s="14">
        <v>3574.45</v>
      </c>
      <c r="J635" s="7">
        <v>6000</v>
      </c>
      <c r="K635" s="5" t="s">
        <v>38</v>
      </c>
      <c r="L635" s="5" t="s">
        <v>27</v>
      </c>
      <c r="M635" s="17">
        <f t="shared" si="27"/>
        <v>-2425.5500000000002</v>
      </c>
      <c r="N635" s="15">
        <f t="shared" si="28"/>
        <v>-3574.45</v>
      </c>
      <c r="O635" t="str">
        <f t="shared" si="29"/>
        <v>No</v>
      </c>
    </row>
    <row r="636" spans="1:15" x14ac:dyDescent="0.3">
      <c r="A636" s="2" t="s">
        <v>748</v>
      </c>
      <c r="B636" s="3">
        <v>45639</v>
      </c>
      <c r="C636" s="2" t="s">
        <v>712</v>
      </c>
      <c r="D636" s="2" t="s">
        <v>14</v>
      </c>
      <c r="E636" s="2" t="s">
        <v>34</v>
      </c>
      <c r="F636" s="2" t="s">
        <v>94</v>
      </c>
      <c r="G636" s="2" t="s">
        <v>95</v>
      </c>
      <c r="H636" s="2" t="s">
        <v>52</v>
      </c>
      <c r="I636" s="12">
        <v>2877.52</v>
      </c>
      <c r="J636" s="4">
        <v>4000</v>
      </c>
      <c r="K636" s="2" t="s">
        <v>19</v>
      </c>
      <c r="L636" s="2" t="s">
        <v>27</v>
      </c>
      <c r="M636" s="17">
        <f t="shared" si="27"/>
        <v>-1122.48</v>
      </c>
      <c r="N636" s="15">
        <f t="shared" si="28"/>
        <v>-2877.52</v>
      </c>
      <c r="O636" t="str">
        <f t="shared" si="29"/>
        <v>No</v>
      </c>
    </row>
    <row r="637" spans="1:15" x14ac:dyDescent="0.3">
      <c r="A637" s="5" t="s">
        <v>749</v>
      </c>
      <c r="B637" s="6">
        <v>45639</v>
      </c>
      <c r="C637" s="5" t="s">
        <v>712</v>
      </c>
      <c r="D637" s="5" t="s">
        <v>14</v>
      </c>
      <c r="E637" s="5" t="s">
        <v>112</v>
      </c>
      <c r="F637" s="5" t="s">
        <v>113</v>
      </c>
      <c r="G637" s="5" t="s">
        <v>114</v>
      </c>
      <c r="H637" s="5" t="s">
        <v>37</v>
      </c>
      <c r="I637" s="14">
        <v>8687.1299999999992</v>
      </c>
      <c r="J637" s="7">
        <v>8000</v>
      </c>
      <c r="K637" s="5" t="s">
        <v>47</v>
      </c>
      <c r="L637" s="5" t="s">
        <v>20</v>
      </c>
      <c r="M637" s="17">
        <f t="shared" si="27"/>
        <v>687.1299999999992</v>
      </c>
      <c r="N637" s="15">
        <f t="shared" si="28"/>
        <v>-8687.1299999999992</v>
      </c>
      <c r="O637" t="str">
        <f t="shared" si="29"/>
        <v>Yes</v>
      </c>
    </row>
    <row r="638" spans="1:15" x14ac:dyDescent="0.3">
      <c r="A638" s="2" t="s">
        <v>750</v>
      </c>
      <c r="B638" s="3">
        <v>45639</v>
      </c>
      <c r="C638" s="2" t="s">
        <v>712</v>
      </c>
      <c r="D638" s="2" t="s">
        <v>14</v>
      </c>
      <c r="E638" s="2" t="s">
        <v>34</v>
      </c>
      <c r="F638" s="2" t="s">
        <v>94</v>
      </c>
      <c r="G638" s="2" t="s">
        <v>95</v>
      </c>
      <c r="H638" s="2" t="s">
        <v>37</v>
      </c>
      <c r="I638" s="12">
        <v>4671.05</v>
      </c>
      <c r="J638" s="4">
        <v>4000</v>
      </c>
      <c r="K638" s="2" t="s">
        <v>38</v>
      </c>
      <c r="L638" s="2" t="s">
        <v>27</v>
      </c>
      <c r="M638" s="17">
        <f t="shared" si="27"/>
        <v>671.05000000000018</v>
      </c>
      <c r="N638" s="15">
        <f t="shared" si="28"/>
        <v>-4671.05</v>
      </c>
      <c r="O638" t="str">
        <f t="shared" si="29"/>
        <v>Yes</v>
      </c>
    </row>
    <row r="639" spans="1:15" x14ac:dyDescent="0.3">
      <c r="A639" s="5" t="s">
        <v>751</v>
      </c>
      <c r="B639" s="6">
        <v>45639</v>
      </c>
      <c r="C639" s="5" t="s">
        <v>712</v>
      </c>
      <c r="D639" s="5" t="s">
        <v>14</v>
      </c>
      <c r="E639" s="5" t="s">
        <v>49</v>
      </c>
      <c r="F639" s="5" t="s">
        <v>77</v>
      </c>
      <c r="G639" s="5" t="s">
        <v>78</v>
      </c>
      <c r="H639" s="5" t="s">
        <v>37</v>
      </c>
      <c r="I639" s="14">
        <v>3532.57</v>
      </c>
      <c r="J639" s="7">
        <v>3500</v>
      </c>
      <c r="K639" s="5" t="s">
        <v>38</v>
      </c>
      <c r="L639" s="5" t="s">
        <v>27</v>
      </c>
      <c r="M639" s="17">
        <f t="shared" si="27"/>
        <v>32.570000000000164</v>
      </c>
      <c r="N639" s="15">
        <f t="shared" si="28"/>
        <v>-3532.57</v>
      </c>
      <c r="O639" t="str">
        <f t="shared" si="29"/>
        <v>Yes</v>
      </c>
    </row>
    <row r="640" spans="1:15" x14ac:dyDescent="0.3">
      <c r="A640" s="2" t="s">
        <v>752</v>
      </c>
      <c r="B640" s="3">
        <v>45639</v>
      </c>
      <c r="C640" s="2" t="s">
        <v>712</v>
      </c>
      <c r="D640" s="2" t="s">
        <v>14</v>
      </c>
      <c r="E640" s="2" t="s">
        <v>44</v>
      </c>
      <c r="F640" s="2" t="s">
        <v>45</v>
      </c>
      <c r="G640" s="2" t="s">
        <v>46</v>
      </c>
      <c r="H640" s="2" t="s">
        <v>18</v>
      </c>
      <c r="I640" s="12">
        <v>8387.83</v>
      </c>
      <c r="J640" s="4">
        <v>15000</v>
      </c>
      <c r="K640" s="2" t="s">
        <v>38</v>
      </c>
      <c r="L640" s="2" t="s">
        <v>20</v>
      </c>
      <c r="M640" s="17">
        <f t="shared" si="27"/>
        <v>-6612.17</v>
      </c>
      <c r="N640" s="15">
        <f t="shared" si="28"/>
        <v>-8387.83</v>
      </c>
      <c r="O640" t="str">
        <f t="shared" si="29"/>
        <v>No</v>
      </c>
    </row>
    <row r="641" spans="1:15" x14ac:dyDescent="0.3">
      <c r="A641" s="5" t="s">
        <v>753</v>
      </c>
      <c r="B641" s="6">
        <v>45640</v>
      </c>
      <c r="C641" s="5" t="s">
        <v>712</v>
      </c>
      <c r="D641" s="5" t="s">
        <v>14</v>
      </c>
      <c r="E641" s="5" t="s">
        <v>72</v>
      </c>
      <c r="F641" s="5" t="s">
        <v>132</v>
      </c>
      <c r="G641" s="5" t="s">
        <v>133</v>
      </c>
      <c r="H641" s="5" t="s">
        <v>52</v>
      </c>
      <c r="I641" s="14">
        <v>2037.22</v>
      </c>
      <c r="J641" s="7">
        <v>2000</v>
      </c>
      <c r="K641" s="5" t="s">
        <v>47</v>
      </c>
      <c r="L641" s="5" t="s">
        <v>27</v>
      </c>
      <c r="M641" s="17">
        <f t="shared" si="27"/>
        <v>37.220000000000027</v>
      </c>
      <c r="N641" s="15">
        <f t="shared" si="28"/>
        <v>-2037.22</v>
      </c>
      <c r="O641" t="str">
        <f t="shared" si="29"/>
        <v>Yes</v>
      </c>
    </row>
    <row r="642" spans="1:15" x14ac:dyDescent="0.3">
      <c r="A642" s="2" t="s">
        <v>754</v>
      </c>
      <c r="B642" s="3">
        <v>45640</v>
      </c>
      <c r="C642" s="2" t="s">
        <v>712</v>
      </c>
      <c r="D642" s="2" t="s">
        <v>14</v>
      </c>
      <c r="E642" s="2" t="s">
        <v>49</v>
      </c>
      <c r="F642" s="2" t="s">
        <v>50</v>
      </c>
      <c r="G642" s="2" t="s">
        <v>51</v>
      </c>
      <c r="H642" s="2" t="s">
        <v>18</v>
      </c>
      <c r="I642" s="12">
        <v>4467.8599999999997</v>
      </c>
      <c r="J642" s="4">
        <v>3500</v>
      </c>
      <c r="K642" s="2" t="s">
        <v>38</v>
      </c>
      <c r="L642" s="2" t="s">
        <v>27</v>
      </c>
      <c r="M642" s="17">
        <f t="shared" si="27"/>
        <v>967.85999999999967</v>
      </c>
      <c r="N642" s="15">
        <f t="shared" si="28"/>
        <v>-4467.8599999999997</v>
      </c>
      <c r="O642" t="str">
        <f t="shared" si="29"/>
        <v>Yes</v>
      </c>
    </row>
    <row r="643" spans="1:15" x14ac:dyDescent="0.3">
      <c r="A643" s="5" t="s">
        <v>755</v>
      </c>
      <c r="B643" s="6">
        <v>45641</v>
      </c>
      <c r="C643" s="5" t="s">
        <v>712</v>
      </c>
      <c r="D643" s="5" t="s">
        <v>14</v>
      </c>
      <c r="E643" s="5" t="s">
        <v>22</v>
      </c>
      <c r="F643" s="5" t="s">
        <v>66</v>
      </c>
      <c r="G643" s="5" t="s">
        <v>67</v>
      </c>
      <c r="H643" s="5" t="s">
        <v>37</v>
      </c>
      <c r="I643" s="14">
        <v>1997.06</v>
      </c>
      <c r="J643" s="7">
        <v>2500</v>
      </c>
      <c r="K643" s="5" t="s">
        <v>38</v>
      </c>
      <c r="L643" s="5" t="s">
        <v>20</v>
      </c>
      <c r="M643" s="17">
        <f t="shared" ref="M643:M706" si="30">IF(J643=0,"0",I643-J643)</f>
        <v>-502.94000000000005</v>
      </c>
      <c r="N643" s="15">
        <f t="shared" ref="N643:N706" si="31">IF(D643="Income",I643,-I643)</f>
        <v>-1997.06</v>
      </c>
      <c r="O643" t="str">
        <f t="shared" ref="O643:O706" si="32">IF(M643&gt;0,"Yes","No")</f>
        <v>No</v>
      </c>
    </row>
    <row r="644" spans="1:15" x14ac:dyDescent="0.3">
      <c r="A644" s="2" t="s">
        <v>756</v>
      </c>
      <c r="B644" s="3">
        <v>45642</v>
      </c>
      <c r="C644" s="2" t="s">
        <v>712</v>
      </c>
      <c r="D644" s="2" t="s">
        <v>14</v>
      </c>
      <c r="E644" s="2" t="s">
        <v>22</v>
      </c>
      <c r="F644" s="2" t="s">
        <v>154</v>
      </c>
      <c r="G644" s="2" t="s">
        <v>155</v>
      </c>
      <c r="H644" s="2" t="s">
        <v>37</v>
      </c>
      <c r="I644" s="12">
        <v>3007.96</v>
      </c>
      <c r="J644" s="4">
        <v>2500</v>
      </c>
      <c r="K644" s="2" t="s">
        <v>47</v>
      </c>
      <c r="L644" s="2" t="s">
        <v>27</v>
      </c>
      <c r="M644" s="17">
        <f t="shared" si="30"/>
        <v>507.96000000000004</v>
      </c>
      <c r="N644" s="15">
        <f t="shared" si="31"/>
        <v>-3007.96</v>
      </c>
      <c r="O644" t="str">
        <f t="shared" si="32"/>
        <v>Yes</v>
      </c>
    </row>
    <row r="645" spans="1:15" x14ac:dyDescent="0.3">
      <c r="A645" s="5" t="s">
        <v>757</v>
      </c>
      <c r="B645" s="6">
        <v>45642</v>
      </c>
      <c r="C645" s="5" t="s">
        <v>712</v>
      </c>
      <c r="D645" s="5" t="s">
        <v>14</v>
      </c>
      <c r="E645" s="5" t="s">
        <v>112</v>
      </c>
      <c r="F645" s="5" t="s">
        <v>135</v>
      </c>
      <c r="G645" s="5" t="s">
        <v>136</v>
      </c>
      <c r="H645" s="5" t="s">
        <v>18</v>
      </c>
      <c r="I645" s="14">
        <v>6096.64</v>
      </c>
      <c r="J645" s="7">
        <v>8000</v>
      </c>
      <c r="K645" s="5" t="s">
        <v>47</v>
      </c>
      <c r="L645" s="5" t="s">
        <v>20</v>
      </c>
      <c r="M645" s="17">
        <f t="shared" si="30"/>
        <v>-1903.3599999999997</v>
      </c>
      <c r="N645" s="15">
        <f t="shared" si="31"/>
        <v>-6096.64</v>
      </c>
      <c r="O645" t="str">
        <f t="shared" si="32"/>
        <v>No</v>
      </c>
    </row>
    <row r="646" spans="1:15" x14ac:dyDescent="0.3">
      <c r="A646" s="2" t="s">
        <v>758</v>
      </c>
      <c r="B646" s="3">
        <v>45642</v>
      </c>
      <c r="C646" s="2" t="s">
        <v>712</v>
      </c>
      <c r="D646" s="2" t="s">
        <v>14</v>
      </c>
      <c r="E646" s="2" t="s">
        <v>22</v>
      </c>
      <c r="F646" s="2" t="s">
        <v>154</v>
      </c>
      <c r="G646" s="2" t="s">
        <v>155</v>
      </c>
      <c r="H646" s="2" t="s">
        <v>32</v>
      </c>
      <c r="I646" s="12">
        <v>2860.82</v>
      </c>
      <c r="J646" s="4">
        <v>2500</v>
      </c>
      <c r="K646" s="2" t="s">
        <v>26</v>
      </c>
      <c r="L646" s="2" t="s">
        <v>27</v>
      </c>
      <c r="M646" s="17">
        <f t="shared" si="30"/>
        <v>360.82000000000016</v>
      </c>
      <c r="N646" s="15">
        <f t="shared" si="31"/>
        <v>-2860.82</v>
      </c>
      <c r="O646" t="str">
        <f t="shared" si="32"/>
        <v>Yes</v>
      </c>
    </row>
    <row r="647" spans="1:15" x14ac:dyDescent="0.3">
      <c r="A647" s="5" t="s">
        <v>759</v>
      </c>
      <c r="B647" s="6">
        <v>45643</v>
      </c>
      <c r="C647" s="5" t="s">
        <v>712</v>
      </c>
      <c r="D647" s="5" t="s">
        <v>14</v>
      </c>
      <c r="E647" s="5" t="s">
        <v>15</v>
      </c>
      <c r="F647" s="5" t="s">
        <v>60</v>
      </c>
      <c r="G647" s="5" t="s">
        <v>61</v>
      </c>
      <c r="H647" s="5" t="s">
        <v>52</v>
      </c>
      <c r="I647" s="14">
        <v>14076.54</v>
      </c>
      <c r="J647" s="7">
        <v>12000</v>
      </c>
      <c r="K647" s="5" t="s">
        <v>19</v>
      </c>
      <c r="L647" s="5" t="s">
        <v>20</v>
      </c>
      <c r="M647" s="17">
        <f t="shared" si="30"/>
        <v>2076.5400000000009</v>
      </c>
      <c r="N647" s="15">
        <f t="shared" si="31"/>
        <v>-14076.54</v>
      </c>
      <c r="O647" t="str">
        <f t="shared" si="32"/>
        <v>Yes</v>
      </c>
    </row>
    <row r="648" spans="1:15" x14ac:dyDescent="0.3">
      <c r="A648" s="2" t="s">
        <v>760</v>
      </c>
      <c r="B648" s="3">
        <v>45643</v>
      </c>
      <c r="C648" s="2" t="s">
        <v>712</v>
      </c>
      <c r="D648" s="2" t="s">
        <v>14</v>
      </c>
      <c r="E648" s="2" t="s">
        <v>72</v>
      </c>
      <c r="F648" s="2" t="s">
        <v>73</v>
      </c>
      <c r="G648" s="2" t="s">
        <v>74</v>
      </c>
      <c r="H648" s="2" t="s">
        <v>18</v>
      </c>
      <c r="I648" s="12">
        <v>1246.5999999999999</v>
      </c>
      <c r="J648" s="4">
        <v>2000</v>
      </c>
      <c r="K648" s="2" t="s">
        <v>26</v>
      </c>
      <c r="L648" s="2" t="s">
        <v>27</v>
      </c>
      <c r="M648" s="17">
        <f t="shared" si="30"/>
        <v>-753.40000000000009</v>
      </c>
      <c r="N648" s="15">
        <f t="shared" si="31"/>
        <v>-1246.5999999999999</v>
      </c>
      <c r="O648" t="str">
        <f t="shared" si="32"/>
        <v>No</v>
      </c>
    </row>
    <row r="649" spans="1:15" x14ac:dyDescent="0.3">
      <c r="A649" s="5" t="s">
        <v>761</v>
      </c>
      <c r="B649" s="6">
        <v>45643</v>
      </c>
      <c r="C649" s="5" t="s">
        <v>712</v>
      </c>
      <c r="D649" s="5" t="s">
        <v>14</v>
      </c>
      <c r="E649" s="5" t="s">
        <v>44</v>
      </c>
      <c r="F649" s="5" t="s">
        <v>45</v>
      </c>
      <c r="G649" s="5" t="s">
        <v>46</v>
      </c>
      <c r="H649" s="5" t="s">
        <v>25</v>
      </c>
      <c r="I649" s="14">
        <v>10090.93</v>
      </c>
      <c r="J649" s="7">
        <v>15000</v>
      </c>
      <c r="K649" s="5" t="s">
        <v>19</v>
      </c>
      <c r="L649" s="5" t="s">
        <v>20</v>
      </c>
      <c r="M649" s="17">
        <f t="shared" si="30"/>
        <v>-4909.07</v>
      </c>
      <c r="N649" s="15">
        <f t="shared" si="31"/>
        <v>-10090.93</v>
      </c>
      <c r="O649" t="str">
        <f t="shared" si="32"/>
        <v>No</v>
      </c>
    </row>
    <row r="650" spans="1:15" x14ac:dyDescent="0.3">
      <c r="A650" s="2" t="s">
        <v>762</v>
      </c>
      <c r="B650" s="3">
        <v>45643</v>
      </c>
      <c r="C650" s="2" t="s">
        <v>712</v>
      </c>
      <c r="D650" s="2" t="s">
        <v>14</v>
      </c>
      <c r="E650" s="2" t="s">
        <v>22</v>
      </c>
      <c r="F650" s="2" t="s">
        <v>66</v>
      </c>
      <c r="G650" s="2" t="s">
        <v>67</v>
      </c>
      <c r="H650" s="2" t="s">
        <v>32</v>
      </c>
      <c r="I650" s="12">
        <v>3157.67</v>
      </c>
      <c r="J650" s="4">
        <v>2500</v>
      </c>
      <c r="K650" s="2" t="s">
        <v>38</v>
      </c>
      <c r="L650" s="2" t="s">
        <v>27</v>
      </c>
      <c r="M650" s="17">
        <f t="shared" si="30"/>
        <v>657.67000000000007</v>
      </c>
      <c r="N650" s="15">
        <f t="shared" si="31"/>
        <v>-3157.67</v>
      </c>
      <c r="O650" t="str">
        <f t="shared" si="32"/>
        <v>Yes</v>
      </c>
    </row>
    <row r="651" spans="1:15" x14ac:dyDescent="0.3">
      <c r="A651" s="5" t="s">
        <v>763</v>
      </c>
      <c r="B651" s="6">
        <v>45644</v>
      </c>
      <c r="C651" s="5" t="s">
        <v>712</v>
      </c>
      <c r="D651" s="5" t="s">
        <v>14</v>
      </c>
      <c r="E651" s="5" t="s">
        <v>44</v>
      </c>
      <c r="F651" s="5" t="s">
        <v>45</v>
      </c>
      <c r="G651" s="5" t="s">
        <v>46</v>
      </c>
      <c r="H651" s="5" t="s">
        <v>52</v>
      </c>
      <c r="I651" s="14">
        <v>16123.87</v>
      </c>
      <c r="J651" s="7">
        <v>15000</v>
      </c>
      <c r="K651" s="5" t="s">
        <v>19</v>
      </c>
      <c r="L651" s="5" t="s">
        <v>20</v>
      </c>
      <c r="M651" s="17">
        <f t="shared" si="30"/>
        <v>1123.8700000000008</v>
      </c>
      <c r="N651" s="15">
        <f t="shared" si="31"/>
        <v>-16123.87</v>
      </c>
      <c r="O651" t="str">
        <f t="shared" si="32"/>
        <v>Yes</v>
      </c>
    </row>
    <row r="652" spans="1:15" x14ac:dyDescent="0.3">
      <c r="A652" s="2" t="s">
        <v>764</v>
      </c>
      <c r="B652" s="3">
        <v>45644</v>
      </c>
      <c r="C652" s="2" t="s">
        <v>712</v>
      </c>
      <c r="D652" s="2" t="s">
        <v>14</v>
      </c>
      <c r="E652" s="2" t="s">
        <v>112</v>
      </c>
      <c r="F652" s="2" t="s">
        <v>193</v>
      </c>
      <c r="G652" s="2" t="s">
        <v>194</v>
      </c>
      <c r="H652" s="2" t="s">
        <v>25</v>
      </c>
      <c r="I652" s="12">
        <v>9447.06</v>
      </c>
      <c r="J652" s="4">
        <v>8000</v>
      </c>
      <c r="K652" s="2" t="s">
        <v>38</v>
      </c>
      <c r="L652" s="2" t="s">
        <v>20</v>
      </c>
      <c r="M652" s="17">
        <f t="shared" si="30"/>
        <v>1447.0599999999995</v>
      </c>
      <c r="N652" s="15">
        <f t="shared" si="31"/>
        <v>-9447.06</v>
      </c>
      <c r="O652" t="str">
        <f t="shared" si="32"/>
        <v>Yes</v>
      </c>
    </row>
    <row r="653" spans="1:15" x14ac:dyDescent="0.3">
      <c r="A653" s="5" t="s">
        <v>765</v>
      </c>
      <c r="B653" s="6">
        <v>45645</v>
      </c>
      <c r="C653" s="5" t="s">
        <v>712</v>
      </c>
      <c r="D653" s="5" t="s">
        <v>14</v>
      </c>
      <c r="E653" s="5" t="s">
        <v>15</v>
      </c>
      <c r="F653" s="5" t="s">
        <v>60</v>
      </c>
      <c r="G653" s="5" t="s">
        <v>61</v>
      </c>
      <c r="H653" s="5" t="s">
        <v>18</v>
      </c>
      <c r="I653" s="14">
        <v>8254.65</v>
      </c>
      <c r="J653" s="7">
        <v>12000</v>
      </c>
      <c r="K653" s="5" t="s">
        <v>19</v>
      </c>
      <c r="L653" s="5" t="s">
        <v>20</v>
      </c>
      <c r="M653" s="17">
        <f t="shared" si="30"/>
        <v>-3745.3500000000004</v>
      </c>
      <c r="N653" s="15">
        <f t="shared" si="31"/>
        <v>-8254.65</v>
      </c>
      <c r="O653" t="str">
        <f t="shared" si="32"/>
        <v>No</v>
      </c>
    </row>
    <row r="654" spans="1:15" x14ac:dyDescent="0.3">
      <c r="A654" s="2" t="s">
        <v>766</v>
      </c>
      <c r="B654" s="3">
        <v>45646</v>
      </c>
      <c r="C654" s="2" t="s">
        <v>712</v>
      </c>
      <c r="D654" s="2" t="s">
        <v>14</v>
      </c>
      <c r="E654" s="2" t="s">
        <v>29</v>
      </c>
      <c r="F654" s="2" t="s">
        <v>80</v>
      </c>
      <c r="G654" s="2" t="s">
        <v>81</v>
      </c>
      <c r="H654" s="2" t="s">
        <v>18</v>
      </c>
      <c r="I654" s="12">
        <v>2108.1</v>
      </c>
      <c r="J654" s="4">
        <v>3000</v>
      </c>
      <c r="K654" s="2" t="s">
        <v>47</v>
      </c>
      <c r="L654" s="2" t="s">
        <v>20</v>
      </c>
      <c r="M654" s="17">
        <f t="shared" si="30"/>
        <v>-891.90000000000009</v>
      </c>
      <c r="N654" s="15">
        <f t="shared" si="31"/>
        <v>-2108.1</v>
      </c>
      <c r="O654" t="str">
        <f t="shared" si="32"/>
        <v>No</v>
      </c>
    </row>
    <row r="655" spans="1:15" x14ac:dyDescent="0.3">
      <c r="A655" s="5" t="s">
        <v>767</v>
      </c>
      <c r="B655" s="6">
        <v>45646</v>
      </c>
      <c r="C655" s="5" t="s">
        <v>712</v>
      </c>
      <c r="D655" s="5" t="s">
        <v>54</v>
      </c>
      <c r="E655" s="5" t="s">
        <v>55</v>
      </c>
      <c r="F655" s="5" t="s">
        <v>56</v>
      </c>
      <c r="G655" s="5" t="s">
        <v>57</v>
      </c>
      <c r="H655" s="5" t="s">
        <v>18</v>
      </c>
      <c r="I655" s="14">
        <v>48801.59</v>
      </c>
      <c r="J655" s="7">
        <v>0</v>
      </c>
      <c r="K655" s="5" t="s">
        <v>47</v>
      </c>
      <c r="L655" s="5" t="s">
        <v>20</v>
      </c>
      <c r="M655" s="17" t="str">
        <f t="shared" si="30"/>
        <v>0</v>
      </c>
      <c r="N655" s="15">
        <f t="shared" si="31"/>
        <v>48801.59</v>
      </c>
      <c r="O655" t="str">
        <f t="shared" si="32"/>
        <v>Yes</v>
      </c>
    </row>
    <row r="656" spans="1:15" x14ac:dyDescent="0.3">
      <c r="A656" s="2" t="s">
        <v>768</v>
      </c>
      <c r="B656" s="3">
        <v>45647</v>
      </c>
      <c r="C656" s="2" t="s">
        <v>712</v>
      </c>
      <c r="D656" s="2" t="s">
        <v>14</v>
      </c>
      <c r="E656" s="2" t="s">
        <v>29</v>
      </c>
      <c r="F656" s="2" t="s">
        <v>80</v>
      </c>
      <c r="G656" s="2" t="s">
        <v>81</v>
      </c>
      <c r="H656" s="2" t="s">
        <v>25</v>
      </c>
      <c r="I656" s="12">
        <v>1589.49</v>
      </c>
      <c r="J656" s="4">
        <v>3000</v>
      </c>
      <c r="K656" s="2" t="s">
        <v>47</v>
      </c>
      <c r="L656" s="2" t="s">
        <v>20</v>
      </c>
      <c r="M656" s="17">
        <f t="shared" si="30"/>
        <v>-1410.51</v>
      </c>
      <c r="N656" s="15">
        <f t="shared" si="31"/>
        <v>-1589.49</v>
      </c>
      <c r="O656" t="str">
        <f t="shared" si="32"/>
        <v>No</v>
      </c>
    </row>
    <row r="657" spans="1:15" x14ac:dyDescent="0.3">
      <c r="A657" s="5" t="s">
        <v>769</v>
      </c>
      <c r="B657" s="6">
        <v>45647</v>
      </c>
      <c r="C657" s="5" t="s">
        <v>712</v>
      </c>
      <c r="D657" s="5" t="s">
        <v>14</v>
      </c>
      <c r="E657" s="5" t="s">
        <v>49</v>
      </c>
      <c r="F657" s="5" t="s">
        <v>180</v>
      </c>
      <c r="G657" s="5" t="s">
        <v>181</v>
      </c>
      <c r="H657" s="5" t="s">
        <v>25</v>
      </c>
      <c r="I657" s="14">
        <v>4268.83</v>
      </c>
      <c r="J657" s="7">
        <v>3500</v>
      </c>
      <c r="K657" s="5" t="s">
        <v>38</v>
      </c>
      <c r="L657" s="5" t="s">
        <v>27</v>
      </c>
      <c r="M657" s="17">
        <f t="shared" si="30"/>
        <v>768.82999999999993</v>
      </c>
      <c r="N657" s="15">
        <f t="shared" si="31"/>
        <v>-4268.83</v>
      </c>
      <c r="O657" t="str">
        <f t="shared" si="32"/>
        <v>Yes</v>
      </c>
    </row>
    <row r="658" spans="1:15" x14ac:dyDescent="0.3">
      <c r="A658" s="2" t="s">
        <v>770</v>
      </c>
      <c r="B658" s="3">
        <v>45647</v>
      </c>
      <c r="C658" s="2" t="s">
        <v>712</v>
      </c>
      <c r="D658" s="2" t="s">
        <v>14</v>
      </c>
      <c r="E658" s="2" t="s">
        <v>15</v>
      </c>
      <c r="F658" s="2" t="s">
        <v>83</v>
      </c>
      <c r="G658" s="2" t="s">
        <v>84</v>
      </c>
      <c r="H658" s="2" t="s">
        <v>18</v>
      </c>
      <c r="I658" s="12">
        <v>9202.9699999999993</v>
      </c>
      <c r="J658" s="4">
        <v>12000</v>
      </c>
      <c r="K658" s="2" t="s">
        <v>47</v>
      </c>
      <c r="L658" s="2" t="s">
        <v>20</v>
      </c>
      <c r="M658" s="17">
        <f t="shared" si="30"/>
        <v>-2797.0300000000007</v>
      </c>
      <c r="N658" s="15">
        <f t="shared" si="31"/>
        <v>-9202.9699999999993</v>
      </c>
      <c r="O658" t="str">
        <f t="shared" si="32"/>
        <v>No</v>
      </c>
    </row>
    <row r="659" spans="1:15" x14ac:dyDescent="0.3">
      <c r="A659" s="5" t="s">
        <v>771</v>
      </c>
      <c r="B659" s="6">
        <v>45647</v>
      </c>
      <c r="C659" s="5" t="s">
        <v>712</v>
      </c>
      <c r="D659" s="5" t="s">
        <v>14</v>
      </c>
      <c r="E659" s="5" t="s">
        <v>40</v>
      </c>
      <c r="F659" s="5" t="s">
        <v>97</v>
      </c>
      <c r="G659" s="5" t="s">
        <v>98</v>
      </c>
      <c r="H659" s="5" t="s">
        <v>25</v>
      </c>
      <c r="I659" s="14">
        <v>3378.62</v>
      </c>
      <c r="J659" s="7">
        <v>6000</v>
      </c>
      <c r="K659" s="5" t="s">
        <v>19</v>
      </c>
      <c r="L659" s="5" t="s">
        <v>20</v>
      </c>
      <c r="M659" s="17">
        <f t="shared" si="30"/>
        <v>-2621.38</v>
      </c>
      <c r="N659" s="15">
        <f t="shared" si="31"/>
        <v>-3378.62</v>
      </c>
      <c r="O659" t="str">
        <f t="shared" si="32"/>
        <v>No</v>
      </c>
    </row>
    <row r="660" spans="1:15" x14ac:dyDescent="0.3">
      <c r="A660" s="2" t="s">
        <v>772</v>
      </c>
      <c r="B660" s="3">
        <v>45648</v>
      </c>
      <c r="C660" s="2" t="s">
        <v>712</v>
      </c>
      <c r="D660" s="2" t="s">
        <v>14</v>
      </c>
      <c r="E660" s="2" t="s">
        <v>29</v>
      </c>
      <c r="F660" s="2" t="s">
        <v>80</v>
      </c>
      <c r="G660" s="2" t="s">
        <v>81</v>
      </c>
      <c r="H660" s="2" t="s">
        <v>32</v>
      </c>
      <c r="I660" s="12">
        <v>2178.5300000000002</v>
      </c>
      <c r="J660" s="4">
        <v>3000</v>
      </c>
      <c r="K660" s="2" t="s">
        <v>26</v>
      </c>
      <c r="L660" s="2" t="s">
        <v>20</v>
      </c>
      <c r="M660" s="17">
        <f t="shared" si="30"/>
        <v>-821.4699999999998</v>
      </c>
      <c r="N660" s="15">
        <f t="shared" si="31"/>
        <v>-2178.5300000000002</v>
      </c>
      <c r="O660" t="str">
        <f t="shared" si="32"/>
        <v>No</v>
      </c>
    </row>
    <row r="661" spans="1:15" x14ac:dyDescent="0.3">
      <c r="A661" s="5" t="s">
        <v>773</v>
      </c>
      <c r="B661" s="6">
        <v>45649</v>
      </c>
      <c r="C661" s="5" t="s">
        <v>712</v>
      </c>
      <c r="D661" s="5" t="s">
        <v>14</v>
      </c>
      <c r="E661" s="5" t="s">
        <v>29</v>
      </c>
      <c r="F661" s="5" t="s">
        <v>238</v>
      </c>
      <c r="G661" s="5" t="s">
        <v>239</v>
      </c>
      <c r="H661" s="5" t="s">
        <v>37</v>
      </c>
      <c r="I661" s="14">
        <v>2642.49</v>
      </c>
      <c r="J661" s="7">
        <v>3000</v>
      </c>
      <c r="K661" s="5" t="s">
        <v>38</v>
      </c>
      <c r="L661" s="5" t="s">
        <v>20</v>
      </c>
      <c r="M661" s="17">
        <f t="shared" si="30"/>
        <v>-357.51000000000022</v>
      </c>
      <c r="N661" s="15">
        <f t="shared" si="31"/>
        <v>-2642.49</v>
      </c>
      <c r="O661" t="str">
        <f t="shared" si="32"/>
        <v>No</v>
      </c>
    </row>
    <row r="662" spans="1:15" x14ac:dyDescent="0.3">
      <c r="A662" s="2" t="s">
        <v>774</v>
      </c>
      <c r="B662" s="3">
        <v>45650</v>
      </c>
      <c r="C662" s="2" t="s">
        <v>712</v>
      </c>
      <c r="D662" s="2" t="s">
        <v>14</v>
      </c>
      <c r="E662" s="2" t="s">
        <v>49</v>
      </c>
      <c r="F662" s="2" t="s">
        <v>50</v>
      </c>
      <c r="G662" s="2" t="s">
        <v>51</v>
      </c>
      <c r="H662" s="2" t="s">
        <v>18</v>
      </c>
      <c r="I662" s="12">
        <v>1926.22</v>
      </c>
      <c r="J662" s="4">
        <v>3500</v>
      </c>
      <c r="K662" s="2" t="s">
        <v>47</v>
      </c>
      <c r="L662" s="2" t="s">
        <v>27</v>
      </c>
      <c r="M662" s="17">
        <f t="shared" si="30"/>
        <v>-1573.78</v>
      </c>
      <c r="N662" s="15">
        <f t="shared" si="31"/>
        <v>-1926.22</v>
      </c>
      <c r="O662" t="str">
        <f t="shared" si="32"/>
        <v>No</v>
      </c>
    </row>
    <row r="663" spans="1:15" x14ac:dyDescent="0.3">
      <c r="A663" s="5" t="s">
        <v>775</v>
      </c>
      <c r="B663" s="6">
        <v>45651</v>
      </c>
      <c r="C663" s="5" t="s">
        <v>712</v>
      </c>
      <c r="D663" s="5" t="s">
        <v>14</v>
      </c>
      <c r="E663" s="5" t="s">
        <v>49</v>
      </c>
      <c r="F663" s="5" t="s">
        <v>50</v>
      </c>
      <c r="G663" s="5" t="s">
        <v>51</v>
      </c>
      <c r="H663" s="5" t="s">
        <v>37</v>
      </c>
      <c r="I663" s="14">
        <v>4309.58</v>
      </c>
      <c r="J663" s="7">
        <v>3500</v>
      </c>
      <c r="K663" s="5" t="s">
        <v>26</v>
      </c>
      <c r="L663" s="5" t="s">
        <v>27</v>
      </c>
      <c r="M663" s="17">
        <f t="shared" si="30"/>
        <v>809.57999999999993</v>
      </c>
      <c r="N663" s="15">
        <f t="shared" si="31"/>
        <v>-4309.58</v>
      </c>
      <c r="O663" t="str">
        <f t="shared" si="32"/>
        <v>Yes</v>
      </c>
    </row>
    <row r="664" spans="1:15" x14ac:dyDescent="0.3">
      <c r="A664" s="2" t="s">
        <v>776</v>
      </c>
      <c r="B664" s="3">
        <v>45651</v>
      </c>
      <c r="C664" s="2" t="s">
        <v>712</v>
      </c>
      <c r="D664" s="2" t="s">
        <v>14</v>
      </c>
      <c r="E664" s="2" t="s">
        <v>15</v>
      </c>
      <c r="F664" s="2" t="s">
        <v>60</v>
      </c>
      <c r="G664" s="2" t="s">
        <v>61</v>
      </c>
      <c r="H664" s="2" t="s">
        <v>37</v>
      </c>
      <c r="I664" s="12">
        <v>8303.8799999999992</v>
      </c>
      <c r="J664" s="4">
        <v>12000</v>
      </c>
      <c r="K664" s="2" t="s">
        <v>19</v>
      </c>
      <c r="L664" s="2" t="s">
        <v>20</v>
      </c>
      <c r="M664" s="17">
        <f t="shared" si="30"/>
        <v>-3696.1200000000008</v>
      </c>
      <c r="N664" s="15">
        <f t="shared" si="31"/>
        <v>-8303.8799999999992</v>
      </c>
      <c r="O664" t="str">
        <f t="shared" si="32"/>
        <v>No</v>
      </c>
    </row>
    <row r="665" spans="1:15" x14ac:dyDescent="0.3">
      <c r="A665" s="5" t="s">
        <v>777</v>
      </c>
      <c r="B665" s="6">
        <v>45651</v>
      </c>
      <c r="C665" s="5" t="s">
        <v>712</v>
      </c>
      <c r="D665" s="5" t="s">
        <v>54</v>
      </c>
      <c r="E665" s="5" t="s">
        <v>55</v>
      </c>
      <c r="F665" s="5" t="s">
        <v>56</v>
      </c>
      <c r="G665" s="5" t="s">
        <v>57</v>
      </c>
      <c r="H665" s="5" t="s">
        <v>25</v>
      </c>
      <c r="I665" s="14">
        <v>51892.22</v>
      </c>
      <c r="J665" s="7">
        <v>0</v>
      </c>
      <c r="K665" s="5" t="s">
        <v>38</v>
      </c>
      <c r="L665" s="5" t="s">
        <v>20</v>
      </c>
      <c r="M665" s="17" t="str">
        <f t="shared" si="30"/>
        <v>0</v>
      </c>
      <c r="N665" s="15">
        <f t="shared" si="31"/>
        <v>51892.22</v>
      </c>
      <c r="O665" t="str">
        <f t="shared" si="32"/>
        <v>Yes</v>
      </c>
    </row>
    <row r="666" spans="1:15" x14ac:dyDescent="0.3">
      <c r="A666" s="2" t="s">
        <v>778</v>
      </c>
      <c r="B666" s="3">
        <v>45651</v>
      </c>
      <c r="C666" s="2" t="s">
        <v>712</v>
      </c>
      <c r="D666" s="2" t="s">
        <v>14</v>
      </c>
      <c r="E666" s="2" t="s">
        <v>15</v>
      </c>
      <c r="F666" s="2" t="s">
        <v>60</v>
      </c>
      <c r="G666" s="2" t="s">
        <v>61</v>
      </c>
      <c r="H666" s="2" t="s">
        <v>37</v>
      </c>
      <c r="I666" s="12">
        <v>6861.4</v>
      </c>
      <c r="J666" s="4">
        <v>12000</v>
      </c>
      <c r="K666" s="2" t="s">
        <v>19</v>
      </c>
      <c r="L666" s="2" t="s">
        <v>20</v>
      </c>
      <c r="M666" s="17">
        <f t="shared" si="30"/>
        <v>-5138.6000000000004</v>
      </c>
      <c r="N666" s="15">
        <f t="shared" si="31"/>
        <v>-6861.4</v>
      </c>
      <c r="O666" t="str">
        <f t="shared" si="32"/>
        <v>No</v>
      </c>
    </row>
    <row r="667" spans="1:15" x14ac:dyDescent="0.3">
      <c r="A667" s="5" t="s">
        <v>779</v>
      </c>
      <c r="B667" s="6">
        <v>45651</v>
      </c>
      <c r="C667" s="5" t="s">
        <v>712</v>
      </c>
      <c r="D667" s="5" t="s">
        <v>14</v>
      </c>
      <c r="E667" s="5" t="s">
        <v>112</v>
      </c>
      <c r="F667" s="5" t="s">
        <v>135</v>
      </c>
      <c r="G667" s="5" t="s">
        <v>136</v>
      </c>
      <c r="H667" s="5" t="s">
        <v>25</v>
      </c>
      <c r="I667" s="14">
        <v>5635.84</v>
      </c>
      <c r="J667" s="7">
        <v>8000</v>
      </c>
      <c r="K667" s="5" t="s">
        <v>38</v>
      </c>
      <c r="L667" s="5" t="s">
        <v>20</v>
      </c>
      <c r="M667" s="17">
        <f t="shared" si="30"/>
        <v>-2364.16</v>
      </c>
      <c r="N667" s="15">
        <f t="shared" si="31"/>
        <v>-5635.84</v>
      </c>
      <c r="O667" t="str">
        <f t="shared" si="32"/>
        <v>No</v>
      </c>
    </row>
    <row r="668" spans="1:15" x14ac:dyDescent="0.3">
      <c r="A668" s="2" t="s">
        <v>780</v>
      </c>
      <c r="B668" s="3">
        <v>45652</v>
      </c>
      <c r="C668" s="2" t="s">
        <v>712</v>
      </c>
      <c r="D668" s="2" t="s">
        <v>14</v>
      </c>
      <c r="E668" s="2" t="s">
        <v>22</v>
      </c>
      <c r="F668" s="2" t="s">
        <v>23</v>
      </c>
      <c r="G668" s="2" t="s">
        <v>24</v>
      </c>
      <c r="H668" s="2" t="s">
        <v>32</v>
      </c>
      <c r="I668" s="12">
        <v>3185.69</v>
      </c>
      <c r="J668" s="4">
        <v>2500</v>
      </c>
      <c r="K668" s="2" t="s">
        <v>47</v>
      </c>
      <c r="L668" s="2" t="s">
        <v>27</v>
      </c>
      <c r="M668" s="17">
        <f t="shared" si="30"/>
        <v>685.69</v>
      </c>
      <c r="N668" s="15">
        <f t="shared" si="31"/>
        <v>-3185.69</v>
      </c>
      <c r="O668" t="str">
        <f t="shared" si="32"/>
        <v>Yes</v>
      </c>
    </row>
    <row r="669" spans="1:15" x14ac:dyDescent="0.3">
      <c r="A669" s="5" t="s">
        <v>781</v>
      </c>
      <c r="B669" s="6">
        <v>45652</v>
      </c>
      <c r="C669" s="5" t="s">
        <v>712</v>
      </c>
      <c r="D669" s="5" t="s">
        <v>14</v>
      </c>
      <c r="E669" s="5" t="s">
        <v>112</v>
      </c>
      <c r="F669" s="5" t="s">
        <v>193</v>
      </c>
      <c r="G669" s="5" t="s">
        <v>194</v>
      </c>
      <c r="H669" s="5" t="s">
        <v>37</v>
      </c>
      <c r="I669" s="14">
        <v>7130.56</v>
      </c>
      <c r="J669" s="7">
        <v>8000</v>
      </c>
      <c r="K669" s="5" t="s">
        <v>47</v>
      </c>
      <c r="L669" s="5" t="s">
        <v>20</v>
      </c>
      <c r="M669" s="17">
        <f t="shared" si="30"/>
        <v>-869.4399999999996</v>
      </c>
      <c r="N669" s="15">
        <f t="shared" si="31"/>
        <v>-7130.56</v>
      </c>
      <c r="O669" t="str">
        <f t="shared" si="32"/>
        <v>No</v>
      </c>
    </row>
    <row r="670" spans="1:15" x14ac:dyDescent="0.3">
      <c r="A670" s="2" t="s">
        <v>782</v>
      </c>
      <c r="B670" s="3">
        <v>45653</v>
      </c>
      <c r="C670" s="2" t="s">
        <v>712</v>
      </c>
      <c r="D670" s="2" t="s">
        <v>14</v>
      </c>
      <c r="E670" s="2" t="s">
        <v>49</v>
      </c>
      <c r="F670" s="2" t="s">
        <v>180</v>
      </c>
      <c r="G670" s="2" t="s">
        <v>181</v>
      </c>
      <c r="H670" s="2" t="s">
        <v>37</v>
      </c>
      <c r="I670" s="12">
        <v>2468.8200000000002</v>
      </c>
      <c r="J670" s="4">
        <v>3500</v>
      </c>
      <c r="K670" s="2" t="s">
        <v>47</v>
      </c>
      <c r="L670" s="2" t="s">
        <v>27</v>
      </c>
      <c r="M670" s="17">
        <f t="shared" si="30"/>
        <v>-1031.1799999999998</v>
      </c>
      <c r="N670" s="15">
        <f t="shared" si="31"/>
        <v>-2468.8200000000002</v>
      </c>
      <c r="O670" t="str">
        <f t="shared" si="32"/>
        <v>No</v>
      </c>
    </row>
    <row r="671" spans="1:15" x14ac:dyDescent="0.3">
      <c r="A671" s="5" t="s">
        <v>783</v>
      </c>
      <c r="B671" s="6">
        <v>45654</v>
      </c>
      <c r="C671" s="5" t="s">
        <v>712</v>
      </c>
      <c r="D671" s="5" t="s">
        <v>54</v>
      </c>
      <c r="E671" s="5" t="s">
        <v>55</v>
      </c>
      <c r="F671" s="5" t="s">
        <v>56</v>
      </c>
      <c r="G671" s="5" t="s">
        <v>57</v>
      </c>
      <c r="H671" s="5" t="s">
        <v>18</v>
      </c>
      <c r="I671" s="14">
        <v>44151.65</v>
      </c>
      <c r="J671" s="7">
        <v>0</v>
      </c>
      <c r="K671" s="5" t="s">
        <v>38</v>
      </c>
      <c r="L671" s="5" t="s">
        <v>20</v>
      </c>
      <c r="M671" s="17" t="str">
        <f t="shared" si="30"/>
        <v>0</v>
      </c>
      <c r="N671" s="15">
        <f t="shared" si="31"/>
        <v>44151.65</v>
      </c>
      <c r="O671" t="str">
        <f t="shared" si="32"/>
        <v>Yes</v>
      </c>
    </row>
    <row r="672" spans="1:15" x14ac:dyDescent="0.3">
      <c r="A672" s="2" t="s">
        <v>784</v>
      </c>
      <c r="B672" s="3">
        <v>45655</v>
      </c>
      <c r="C672" s="2" t="s">
        <v>712</v>
      </c>
      <c r="D672" s="2" t="s">
        <v>14</v>
      </c>
      <c r="E672" s="2" t="s">
        <v>34</v>
      </c>
      <c r="F672" s="2" t="s">
        <v>35</v>
      </c>
      <c r="G672" s="2" t="s">
        <v>36</v>
      </c>
      <c r="H672" s="2" t="s">
        <v>52</v>
      </c>
      <c r="I672" s="12">
        <v>4938.79</v>
      </c>
      <c r="J672" s="4">
        <v>4000</v>
      </c>
      <c r="K672" s="2" t="s">
        <v>47</v>
      </c>
      <c r="L672" s="2" t="s">
        <v>27</v>
      </c>
      <c r="M672" s="17">
        <f t="shared" si="30"/>
        <v>938.79</v>
      </c>
      <c r="N672" s="15">
        <f t="shared" si="31"/>
        <v>-4938.79</v>
      </c>
      <c r="O672" t="str">
        <f t="shared" si="32"/>
        <v>Yes</v>
      </c>
    </row>
    <row r="673" spans="1:15" x14ac:dyDescent="0.3">
      <c r="A673" s="5" t="s">
        <v>785</v>
      </c>
      <c r="B673" s="6">
        <v>45655</v>
      </c>
      <c r="C673" s="5" t="s">
        <v>712</v>
      </c>
      <c r="D673" s="5" t="s">
        <v>14</v>
      </c>
      <c r="E673" s="5" t="s">
        <v>29</v>
      </c>
      <c r="F673" s="5" t="s">
        <v>30</v>
      </c>
      <c r="G673" s="5" t="s">
        <v>31</v>
      </c>
      <c r="H673" s="5" t="s">
        <v>32</v>
      </c>
      <c r="I673" s="14">
        <v>2841.39</v>
      </c>
      <c r="J673" s="7">
        <v>3000</v>
      </c>
      <c r="K673" s="5" t="s">
        <v>26</v>
      </c>
      <c r="L673" s="5" t="s">
        <v>20</v>
      </c>
      <c r="M673" s="17">
        <f t="shared" si="30"/>
        <v>-158.61000000000013</v>
      </c>
      <c r="N673" s="15">
        <f t="shared" si="31"/>
        <v>-2841.39</v>
      </c>
      <c r="O673" t="str">
        <f t="shared" si="32"/>
        <v>No</v>
      </c>
    </row>
    <row r="674" spans="1:15" x14ac:dyDescent="0.3">
      <c r="A674" s="2" t="s">
        <v>786</v>
      </c>
      <c r="B674" s="3">
        <v>45656</v>
      </c>
      <c r="C674" s="2" t="s">
        <v>712</v>
      </c>
      <c r="D674" s="2" t="s">
        <v>14</v>
      </c>
      <c r="E674" s="2" t="s">
        <v>104</v>
      </c>
      <c r="F674" s="2" t="s">
        <v>163</v>
      </c>
      <c r="G674" s="2" t="s">
        <v>164</v>
      </c>
      <c r="H674" s="2" t="s">
        <v>52</v>
      </c>
      <c r="I674" s="12">
        <v>1027.5999999999999</v>
      </c>
      <c r="J674" s="4">
        <v>2000</v>
      </c>
      <c r="K674" s="2" t="s">
        <v>26</v>
      </c>
      <c r="L674" s="2" t="s">
        <v>27</v>
      </c>
      <c r="M674" s="17">
        <f t="shared" si="30"/>
        <v>-972.40000000000009</v>
      </c>
      <c r="N674" s="15">
        <f t="shared" si="31"/>
        <v>-1027.5999999999999</v>
      </c>
      <c r="O674" t="str">
        <f t="shared" si="32"/>
        <v>No</v>
      </c>
    </row>
    <row r="675" spans="1:15" x14ac:dyDescent="0.3">
      <c r="A675" s="5" t="s">
        <v>787</v>
      </c>
      <c r="B675" s="6">
        <v>45657</v>
      </c>
      <c r="C675" s="5" t="s">
        <v>712</v>
      </c>
      <c r="D675" s="5" t="s">
        <v>14</v>
      </c>
      <c r="E675" s="5" t="s">
        <v>40</v>
      </c>
      <c r="F675" s="5" t="s">
        <v>97</v>
      </c>
      <c r="G675" s="5" t="s">
        <v>98</v>
      </c>
      <c r="H675" s="5" t="s">
        <v>25</v>
      </c>
      <c r="I675" s="14">
        <v>6138.72</v>
      </c>
      <c r="J675" s="7">
        <v>6000</v>
      </c>
      <c r="K675" s="5" t="s">
        <v>19</v>
      </c>
      <c r="L675" s="5" t="s">
        <v>27</v>
      </c>
      <c r="M675" s="17">
        <f t="shared" si="30"/>
        <v>138.72000000000025</v>
      </c>
      <c r="N675" s="15">
        <f t="shared" si="31"/>
        <v>-6138.72</v>
      </c>
      <c r="O675" t="str">
        <f t="shared" si="32"/>
        <v>Yes</v>
      </c>
    </row>
    <row r="676" spans="1:15" x14ac:dyDescent="0.3">
      <c r="A676" s="2" t="s">
        <v>788</v>
      </c>
      <c r="B676" s="3">
        <v>45657</v>
      </c>
      <c r="C676" s="2" t="s">
        <v>712</v>
      </c>
      <c r="D676" s="2" t="s">
        <v>14</v>
      </c>
      <c r="E676" s="2" t="s">
        <v>34</v>
      </c>
      <c r="F676" s="2" t="s">
        <v>157</v>
      </c>
      <c r="G676" s="2" t="s">
        <v>158</v>
      </c>
      <c r="H676" s="2" t="s">
        <v>37</v>
      </c>
      <c r="I676" s="12">
        <v>4536.55</v>
      </c>
      <c r="J676" s="4">
        <v>4000</v>
      </c>
      <c r="K676" s="2" t="s">
        <v>38</v>
      </c>
      <c r="L676" s="2" t="s">
        <v>27</v>
      </c>
      <c r="M676" s="17">
        <f t="shared" si="30"/>
        <v>536.55000000000018</v>
      </c>
      <c r="N676" s="15">
        <f t="shared" si="31"/>
        <v>-4536.55</v>
      </c>
      <c r="O676" t="str">
        <f t="shared" si="32"/>
        <v>Yes</v>
      </c>
    </row>
    <row r="677" spans="1:15" x14ac:dyDescent="0.3">
      <c r="A677" s="5" t="s">
        <v>789</v>
      </c>
      <c r="B677" s="6">
        <v>45658</v>
      </c>
      <c r="C677" s="5" t="s">
        <v>790</v>
      </c>
      <c r="D677" s="5" t="s">
        <v>14</v>
      </c>
      <c r="E677" s="5" t="s">
        <v>49</v>
      </c>
      <c r="F677" s="5" t="s">
        <v>77</v>
      </c>
      <c r="G677" s="5" t="s">
        <v>78</v>
      </c>
      <c r="H677" s="5" t="s">
        <v>18</v>
      </c>
      <c r="I677" s="14">
        <v>3544.26</v>
      </c>
      <c r="J677" s="7">
        <v>3500</v>
      </c>
      <c r="K677" s="5" t="s">
        <v>19</v>
      </c>
      <c r="L677" s="5" t="s">
        <v>27</v>
      </c>
      <c r="M677" s="17">
        <f t="shared" si="30"/>
        <v>44.260000000000218</v>
      </c>
      <c r="N677" s="15">
        <f t="shared" si="31"/>
        <v>-3544.26</v>
      </c>
      <c r="O677" t="str">
        <f t="shared" si="32"/>
        <v>Yes</v>
      </c>
    </row>
    <row r="678" spans="1:15" x14ac:dyDescent="0.3">
      <c r="A678" s="2" t="s">
        <v>791</v>
      </c>
      <c r="B678" s="3">
        <v>45658</v>
      </c>
      <c r="C678" s="2" t="s">
        <v>790</v>
      </c>
      <c r="D678" s="2" t="s">
        <v>14</v>
      </c>
      <c r="E678" s="2" t="s">
        <v>40</v>
      </c>
      <c r="F678" s="2" t="s">
        <v>41</v>
      </c>
      <c r="G678" s="2" t="s">
        <v>42</v>
      </c>
      <c r="H678" s="2" t="s">
        <v>18</v>
      </c>
      <c r="I678" s="12">
        <v>6797.48</v>
      </c>
      <c r="J678" s="4">
        <v>6000</v>
      </c>
      <c r="K678" s="2" t="s">
        <v>19</v>
      </c>
      <c r="L678" s="2" t="s">
        <v>20</v>
      </c>
      <c r="M678" s="17">
        <f t="shared" si="30"/>
        <v>797.47999999999956</v>
      </c>
      <c r="N678" s="15">
        <f t="shared" si="31"/>
        <v>-6797.48</v>
      </c>
      <c r="O678" t="str">
        <f t="shared" si="32"/>
        <v>Yes</v>
      </c>
    </row>
    <row r="679" spans="1:15" x14ac:dyDescent="0.3">
      <c r="A679" s="5" t="s">
        <v>792</v>
      </c>
      <c r="B679" s="6">
        <v>45658</v>
      </c>
      <c r="C679" s="5" t="s">
        <v>790</v>
      </c>
      <c r="D679" s="5" t="s">
        <v>14</v>
      </c>
      <c r="E679" s="5" t="s">
        <v>112</v>
      </c>
      <c r="F679" s="5" t="s">
        <v>135</v>
      </c>
      <c r="G679" s="5" t="s">
        <v>136</v>
      </c>
      <c r="H679" s="5" t="s">
        <v>37</v>
      </c>
      <c r="I679" s="14">
        <v>9535.69</v>
      </c>
      <c r="J679" s="7">
        <v>8000</v>
      </c>
      <c r="K679" s="5" t="s">
        <v>38</v>
      </c>
      <c r="L679" s="5" t="s">
        <v>20</v>
      </c>
      <c r="M679" s="17">
        <f t="shared" si="30"/>
        <v>1535.6900000000005</v>
      </c>
      <c r="N679" s="15">
        <f t="shared" si="31"/>
        <v>-9535.69</v>
      </c>
      <c r="O679" t="str">
        <f t="shared" si="32"/>
        <v>Yes</v>
      </c>
    </row>
    <row r="680" spans="1:15" x14ac:dyDescent="0.3">
      <c r="A680" s="2" t="s">
        <v>793</v>
      </c>
      <c r="B680" s="3">
        <v>45659</v>
      </c>
      <c r="C680" s="2" t="s">
        <v>790</v>
      </c>
      <c r="D680" s="2" t="s">
        <v>54</v>
      </c>
      <c r="E680" s="2" t="s">
        <v>55</v>
      </c>
      <c r="F680" s="2" t="s">
        <v>56</v>
      </c>
      <c r="G680" s="2" t="s">
        <v>57</v>
      </c>
      <c r="H680" s="2" t="s">
        <v>37</v>
      </c>
      <c r="I680" s="12">
        <v>53746.6</v>
      </c>
      <c r="J680" s="4">
        <v>0</v>
      </c>
      <c r="K680" s="2" t="s">
        <v>26</v>
      </c>
      <c r="L680" s="2" t="s">
        <v>20</v>
      </c>
      <c r="M680" s="17" t="str">
        <f t="shared" si="30"/>
        <v>0</v>
      </c>
      <c r="N680" s="15">
        <f t="shared" si="31"/>
        <v>53746.6</v>
      </c>
      <c r="O680" t="str">
        <f t="shared" si="32"/>
        <v>Yes</v>
      </c>
    </row>
    <row r="681" spans="1:15" x14ac:dyDescent="0.3">
      <c r="A681" s="5" t="s">
        <v>794</v>
      </c>
      <c r="B681" s="6">
        <v>45659</v>
      </c>
      <c r="C681" s="5" t="s">
        <v>790</v>
      </c>
      <c r="D681" s="5" t="s">
        <v>14</v>
      </c>
      <c r="E681" s="5" t="s">
        <v>49</v>
      </c>
      <c r="F681" s="5" t="s">
        <v>77</v>
      </c>
      <c r="G681" s="5" t="s">
        <v>78</v>
      </c>
      <c r="H681" s="5" t="s">
        <v>18</v>
      </c>
      <c r="I681" s="14">
        <v>2064.29</v>
      </c>
      <c r="J681" s="7">
        <v>3500</v>
      </c>
      <c r="K681" s="5" t="s">
        <v>47</v>
      </c>
      <c r="L681" s="5" t="s">
        <v>27</v>
      </c>
      <c r="M681" s="17">
        <f t="shared" si="30"/>
        <v>-1435.71</v>
      </c>
      <c r="N681" s="15">
        <f t="shared" si="31"/>
        <v>-2064.29</v>
      </c>
      <c r="O681" t="str">
        <f t="shared" si="32"/>
        <v>No</v>
      </c>
    </row>
    <row r="682" spans="1:15" x14ac:dyDescent="0.3">
      <c r="A682" s="2" t="s">
        <v>795</v>
      </c>
      <c r="B682" s="3">
        <v>45660</v>
      </c>
      <c r="C682" s="2" t="s">
        <v>790</v>
      </c>
      <c r="D682" s="2" t="s">
        <v>14</v>
      </c>
      <c r="E682" s="2" t="s">
        <v>104</v>
      </c>
      <c r="F682" s="2" t="s">
        <v>105</v>
      </c>
      <c r="G682" s="2" t="s">
        <v>106</v>
      </c>
      <c r="H682" s="2" t="s">
        <v>18</v>
      </c>
      <c r="I682" s="12">
        <v>2392.63</v>
      </c>
      <c r="J682" s="4">
        <v>2000</v>
      </c>
      <c r="K682" s="2" t="s">
        <v>19</v>
      </c>
      <c r="L682" s="2" t="s">
        <v>27</v>
      </c>
      <c r="M682" s="17">
        <f t="shared" si="30"/>
        <v>392.63000000000011</v>
      </c>
      <c r="N682" s="15">
        <f t="shared" si="31"/>
        <v>-2392.63</v>
      </c>
      <c r="O682" t="str">
        <f t="shared" si="32"/>
        <v>Yes</v>
      </c>
    </row>
    <row r="683" spans="1:15" x14ac:dyDescent="0.3">
      <c r="A683" s="5" t="s">
        <v>796</v>
      </c>
      <c r="B683" s="6">
        <v>45660</v>
      </c>
      <c r="C683" s="5" t="s">
        <v>790</v>
      </c>
      <c r="D683" s="5" t="s">
        <v>14</v>
      </c>
      <c r="E683" s="5" t="s">
        <v>15</v>
      </c>
      <c r="F683" s="5" t="s">
        <v>60</v>
      </c>
      <c r="G683" s="5" t="s">
        <v>61</v>
      </c>
      <c r="H683" s="5" t="s">
        <v>37</v>
      </c>
      <c r="I683" s="14">
        <v>12705.68</v>
      </c>
      <c r="J683" s="7">
        <v>12000</v>
      </c>
      <c r="K683" s="5" t="s">
        <v>19</v>
      </c>
      <c r="L683" s="5" t="s">
        <v>20</v>
      </c>
      <c r="M683" s="17">
        <f t="shared" si="30"/>
        <v>705.68000000000029</v>
      </c>
      <c r="N683" s="15">
        <f t="shared" si="31"/>
        <v>-12705.68</v>
      </c>
      <c r="O683" t="str">
        <f t="shared" si="32"/>
        <v>Yes</v>
      </c>
    </row>
    <row r="684" spans="1:15" x14ac:dyDescent="0.3">
      <c r="A684" s="2" t="s">
        <v>797</v>
      </c>
      <c r="B684" s="3">
        <v>45660</v>
      </c>
      <c r="C684" s="2" t="s">
        <v>790</v>
      </c>
      <c r="D684" s="2" t="s">
        <v>14</v>
      </c>
      <c r="E684" s="2" t="s">
        <v>112</v>
      </c>
      <c r="F684" s="2" t="s">
        <v>113</v>
      </c>
      <c r="G684" s="2" t="s">
        <v>114</v>
      </c>
      <c r="H684" s="2" t="s">
        <v>18</v>
      </c>
      <c r="I684" s="12">
        <v>8461.2900000000009</v>
      </c>
      <c r="J684" s="4">
        <v>8000</v>
      </c>
      <c r="K684" s="2" t="s">
        <v>47</v>
      </c>
      <c r="L684" s="2" t="s">
        <v>20</v>
      </c>
      <c r="M684" s="17">
        <f t="shared" si="30"/>
        <v>461.29000000000087</v>
      </c>
      <c r="N684" s="15">
        <f t="shared" si="31"/>
        <v>-8461.2900000000009</v>
      </c>
      <c r="O684" t="str">
        <f t="shared" si="32"/>
        <v>Yes</v>
      </c>
    </row>
    <row r="685" spans="1:15" x14ac:dyDescent="0.3">
      <c r="A685" s="5" t="s">
        <v>798</v>
      </c>
      <c r="B685" s="6">
        <v>45661</v>
      </c>
      <c r="C685" s="5" t="s">
        <v>790</v>
      </c>
      <c r="D685" s="5" t="s">
        <v>54</v>
      </c>
      <c r="E685" s="5" t="s">
        <v>87</v>
      </c>
      <c r="F685" s="5" t="s">
        <v>88</v>
      </c>
      <c r="G685" s="5" t="s">
        <v>89</v>
      </c>
      <c r="H685" s="5" t="s">
        <v>18</v>
      </c>
      <c r="I685" s="14">
        <v>5388.21</v>
      </c>
      <c r="J685" s="7">
        <v>0</v>
      </c>
      <c r="K685" s="5" t="s">
        <v>19</v>
      </c>
      <c r="L685" s="5" t="s">
        <v>27</v>
      </c>
      <c r="M685" s="17" t="str">
        <f t="shared" si="30"/>
        <v>0</v>
      </c>
      <c r="N685" s="15">
        <f t="shared" si="31"/>
        <v>5388.21</v>
      </c>
      <c r="O685" t="str">
        <f t="shared" si="32"/>
        <v>Yes</v>
      </c>
    </row>
    <row r="686" spans="1:15" x14ac:dyDescent="0.3">
      <c r="A686" s="2" t="s">
        <v>799</v>
      </c>
      <c r="B686" s="3">
        <v>45661</v>
      </c>
      <c r="C686" s="2" t="s">
        <v>790</v>
      </c>
      <c r="D686" s="2" t="s">
        <v>14</v>
      </c>
      <c r="E686" s="2" t="s">
        <v>44</v>
      </c>
      <c r="F686" s="2" t="s">
        <v>45</v>
      </c>
      <c r="G686" s="2" t="s">
        <v>46</v>
      </c>
      <c r="H686" s="2" t="s">
        <v>37</v>
      </c>
      <c r="I686" s="12">
        <v>12089.68</v>
      </c>
      <c r="J686" s="4">
        <v>15000</v>
      </c>
      <c r="K686" s="2" t="s">
        <v>47</v>
      </c>
      <c r="L686" s="2" t="s">
        <v>20</v>
      </c>
      <c r="M686" s="17">
        <f t="shared" si="30"/>
        <v>-2910.3199999999997</v>
      </c>
      <c r="N686" s="15">
        <f t="shared" si="31"/>
        <v>-12089.68</v>
      </c>
      <c r="O686" t="str">
        <f t="shared" si="32"/>
        <v>No</v>
      </c>
    </row>
    <row r="687" spans="1:15" x14ac:dyDescent="0.3">
      <c r="A687" s="5" t="s">
        <v>800</v>
      </c>
      <c r="B687" s="6">
        <v>45661</v>
      </c>
      <c r="C687" s="5" t="s">
        <v>790</v>
      </c>
      <c r="D687" s="5" t="s">
        <v>14</v>
      </c>
      <c r="E687" s="5" t="s">
        <v>49</v>
      </c>
      <c r="F687" s="5" t="s">
        <v>77</v>
      </c>
      <c r="G687" s="5" t="s">
        <v>78</v>
      </c>
      <c r="H687" s="5" t="s">
        <v>37</v>
      </c>
      <c r="I687" s="14">
        <v>2403.11</v>
      </c>
      <c r="J687" s="7">
        <v>3500</v>
      </c>
      <c r="K687" s="5" t="s">
        <v>38</v>
      </c>
      <c r="L687" s="5" t="s">
        <v>27</v>
      </c>
      <c r="M687" s="17">
        <f t="shared" si="30"/>
        <v>-1096.8899999999999</v>
      </c>
      <c r="N687" s="15">
        <f t="shared" si="31"/>
        <v>-2403.11</v>
      </c>
      <c r="O687" t="str">
        <f t="shared" si="32"/>
        <v>No</v>
      </c>
    </row>
    <row r="688" spans="1:15" x14ac:dyDescent="0.3">
      <c r="A688" s="2" t="s">
        <v>801</v>
      </c>
      <c r="B688" s="3">
        <v>45662</v>
      </c>
      <c r="C688" s="2" t="s">
        <v>790</v>
      </c>
      <c r="D688" s="2" t="s">
        <v>14</v>
      </c>
      <c r="E688" s="2" t="s">
        <v>15</v>
      </c>
      <c r="F688" s="2" t="s">
        <v>16</v>
      </c>
      <c r="G688" s="2" t="s">
        <v>17</v>
      </c>
      <c r="H688" s="2" t="s">
        <v>37</v>
      </c>
      <c r="I688" s="12">
        <v>12448.37</v>
      </c>
      <c r="J688" s="4">
        <v>12000</v>
      </c>
      <c r="K688" s="2" t="s">
        <v>26</v>
      </c>
      <c r="L688" s="2" t="s">
        <v>20</v>
      </c>
      <c r="M688" s="17">
        <f t="shared" si="30"/>
        <v>448.3700000000008</v>
      </c>
      <c r="N688" s="15">
        <f t="shared" si="31"/>
        <v>-12448.37</v>
      </c>
      <c r="O688" t="str">
        <f t="shared" si="32"/>
        <v>Yes</v>
      </c>
    </row>
    <row r="689" spans="1:15" x14ac:dyDescent="0.3">
      <c r="A689" s="5" t="s">
        <v>802</v>
      </c>
      <c r="B689" s="6">
        <v>45662</v>
      </c>
      <c r="C689" s="5" t="s">
        <v>790</v>
      </c>
      <c r="D689" s="5" t="s">
        <v>14</v>
      </c>
      <c r="E689" s="5" t="s">
        <v>112</v>
      </c>
      <c r="F689" s="5" t="s">
        <v>193</v>
      </c>
      <c r="G689" s="5" t="s">
        <v>194</v>
      </c>
      <c r="H689" s="5" t="s">
        <v>25</v>
      </c>
      <c r="I689" s="14">
        <v>6090.11</v>
      </c>
      <c r="J689" s="7">
        <v>8000</v>
      </c>
      <c r="K689" s="5" t="s">
        <v>26</v>
      </c>
      <c r="L689" s="5" t="s">
        <v>20</v>
      </c>
      <c r="M689" s="17">
        <f t="shared" si="30"/>
        <v>-1909.8900000000003</v>
      </c>
      <c r="N689" s="15">
        <f t="shared" si="31"/>
        <v>-6090.11</v>
      </c>
      <c r="O689" t="str">
        <f t="shared" si="32"/>
        <v>No</v>
      </c>
    </row>
    <row r="690" spans="1:15" x14ac:dyDescent="0.3">
      <c r="A690" s="2" t="s">
        <v>803</v>
      </c>
      <c r="B690" s="3">
        <v>45663</v>
      </c>
      <c r="C690" s="2" t="s">
        <v>790</v>
      </c>
      <c r="D690" s="2" t="s">
        <v>14</v>
      </c>
      <c r="E690" s="2" t="s">
        <v>112</v>
      </c>
      <c r="F690" s="2" t="s">
        <v>113</v>
      </c>
      <c r="G690" s="2" t="s">
        <v>114</v>
      </c>
      <c r="H690" s="2" t="s">
        <v>25</v>
      </c>
      <c r="I690" s="12">
        <v>8176.81</v>
      </c>
      <c r="J690" s="4">
        <v>8000</v>
      </c>
      <c r="K690" s="2" t="s">
        <v>47</v>
      </c>
      <c r="L690" s="2" t="s">
        <v>20</v>
      </c>
      <c r="M690" s="17">
        <f t="shared" si="30"/>
        <v>176.8100000000004</v>
      </c>
      <c r="N690" s="15">
        <f t="shared" si="31"/>
        <v>-8176.81</v>
      </c>
      <c r="O690" t="str">
        <f t="shared" si="32"/>
        <v>Yes</v>
      </c>
    </row>
    <row r="691" spans="1:15" x14ac:dyDescent="0.3">
      <c r="A691" s="5" t="s">
        <v>804</v>
      </c>
      <c r="B691" s="6">
        <v>45663</v>
      </c>
      <c r="C691" s="5" t="s">
        <v>790</v>
      </c>
      <c r="D691" s="5" t="s">
        <v>54</v>
      </c>
      <c r="E691" s="5" t="s">
        <v>55</v>
      </c>
      <c r="F691" s="5" t="s">
        <v>56</v>
      </c>
      <c r="G691" s="5" t="s">
        <v>57</v>
      </c>
      <c r="H691" s="5" t="s">
        <v>25</v>
      </c>
      <c r="I691" s="14">
        <v>51512.41</v>
      </c>
      <c r="J691" s="7">
        <v>0</v>
      </c>
      <c r="K691" s="5" t="s">
        <v>26</v>
      </c>
      <c r="L691" s="5" t="s">
        <v>20</v>
      </c>
      <c r="M691" s="17" t="str">
        <f t="shared" si="30"/>
        <v>0</v>
      </c>
      <c r="N691" s="15">
        <f t="shared" si="31"/>
        <v>51512.41</v>
      </c>
      <c r="O691" t="str">
        <f t="shared" si="32"/>
        <v>Yes</v>
      </c>
    </row>
    <row r="692" spans="1:15" x14ac:dyDescent="0.3">
      <c r="A692" s="2" t="s">
        <v>805</v>
      </c>
      <c r="B692" s="3">
        <v>45663</v>
      </c>
      <c r="C692" s="2" t="s">
        <v>790</v>
      </c>
      <c r="D692" s="2" t="s">
        <v>14</v>
      </c>
      <c r="E692" s="2" t="s">
        <v>104</v>
      </c>
      <c r="F692" s="2" t="s">
        <v>184</v>
      </c>
      <c r="G692" s="2" t="s">
        <v>185</v>
      </c>
      <c r="H692" s="2" t="s">
        <v>32</v>
      </c>
      <c r="I692" s="12">
        <v>1159.0999999999999</v>
      </c>
      <c r="J692" s="4">
        <v>2000</v>
      </c>
      <c r="K692" s="2" t="s">
        <v>19</v>
      </c>
      <c r="L692" s="2" t="s">
        <v>27</v>
      </c>
      <c r="M692" s="17">
        <f t="shared" si="30"/>
        <v>-840.90000000000009</v>
      </c>
      <c r="N692" s="15">
        <f t="shared" si="31"/>
        <v>-1159.0999999999999</v>
      </c>
      <c r="O692" t="str">
        <f t="shared" si="32"/>
        <v>No</v>
      </c>
    </row>
    <row r="693" spans="1:15" x14ac:dyDescent="0.3">
      <c r="A693" s="5" t="s">
        <v>806</v>
      </c>
      <c r="B693" s="6">
        <v>45663</v>
      </c>
      <c r="C693" s="5" t="s">
        <v>790</v>
      </c>
      <c r="D693" s="5" t="s">
        <v>54</v>
      </c>
      <c r="E693" s="5" t="s">
        <v>55</v>
      </c>
      <c r="F693" s="5" t="s">
        <v>56</v>
      </c>
      <c r="G693" s="5" t="s">
        <v>57</v>
      </c>
      <c r="H693" s="5" t="s">
        <v>18</v>
      </c>
      <c r="I693" s="14">
        <v>45530.18</v>
      </c>
      <c r="J693" s="7">
        <v>0</v>
      </c>
      <c r="K693" s="5" t="s">
        <v>19</v>
      </c>
      <c r="L693" s="5" t="s">
        <v>20</v>
      </c>
      <c r="M693" s="17" t="str">
        <f t="shared" si="30"/>
        <v>0</v>
      </c>
      <c r="N693" s="15">
        <f t="shared" si="31"/>
        <v>45530.18</v>
      </c>
      <c r="O693" t="str">
        <f t="shared" si="32"/>
        <v>Yes</v>
      </c>
    </row>
    <row r="694" spans="1:15" x14ac:dyDescent="0.3">
      <c r="A694" s="2" t="s">
        <v>807</v>
      </c>
      <c r="B694" s="3">
        <v>45665</v>
      </c>
      <c r="C694" s="2" t="s">
        <v>790</v>
      </c>
      <c r="D694" s="2" t="s">
        <v>14</v>
      </c>
      <c r="E694" s="2" t="s">
        <v>29</v>
      </c>
      <c r="F694" s="2" t="s">
        <v>238</v>
      </c>
      <c r="G694" s="2" t="s">
        <v>239</v>
      </c>
      <c r="H694" s="2" t="s">
        <v>52</v>
      </c>
      <c r="I694" s="12">
        <v>1951.96</v>
      </c>
      <c r="J694" s="4">
        <v>3000</v>
      </c>
      <c r="K694" s="2" t="s">
        <v>26</v>
      </c>
      <c r="L694" s="2" t="s">
        <v>20</v>
      </c>
      <c r="M694" s="17">
        <f t="shared" si="30"/>
        <v>-1048.04</v>
      </c>
      <c r="N694" s="15">
        <f t="shared" si="31"/>
        <v>-1951.96</v>
      </c>
      <c r="O694" t="str">
        <f t="shared" si="32"/>
        <v>No</v>
      </c>
    </row>
    <row r="695" spans="1:15" x14ac:dyDescent="0.3">
      <c r="A695" s="5" t="s">
        <v>808</v>
      </c>
      <c r="B695" s="6">
        <v>45666</v>
      </c>
      <c r="C695" s="5" t="s">
        <v>790</v>
      </c>
      <c r="D695" s="5" t="s">
        <v>14</v>
      </c>
      <c r="E695" s="5" t="s">
        <v>22</v>
      </c>
      <c r="F695" s="5" t="s">
        <v>66</v>
      </c>
      <c r="G695" s="5" t="s">
        <v>67</v>
      </c>
      <c r="H695" s="5" t="s">
        <v>25</v>
      </c>
      <c r="I695" s="14">
        <v>1814.8</v>
      </c>
      <c r="J695" s="7">
        <v>2500</v>
      </c>
      <c r="K695" s="5" t="s">
        <v>19</v>
      </c>
      <c r="L695" s="5" t="s">
        <v>27</v>
      </c>
      <c r="M695" s="17">
        <f t="shared" si="30"/>
        <v>-685.2</v>
      </c>
      <c r="N695" s="15">
        <f t="shared" si="31"/>
        <v>-1814.8</v>
      </c>
      <c r="O695" t="str">
        <f t="shared" si="32"/>
        <v>No</v>
      </c>
    </row>
    <row r="696" spans="1:15" x14ac:dyDescent="0.3">
      <c r="A696" s="2" t="s">
        <v>809</v>
      </c>
      <c r="B696" s="3">
        <v>45668</v>
      </c>
      <c r="C696" s="2" t="s">
        <v>790</v>
      </c>
      <c r="D696" s="2" t="s">
        <v>14</v>
      </c>
      <c r="E696" s="2" t="s">
        <v>40</v>
      </c>
      <c r="F696" s="2" t="s">
        <v>97</v>
      </c>
      <c r="G696" s="2" t="s">
        <v>98</v>
      </c>
      <c r="H696" s="2" t="s">
        <v>25</v>
      </c>
      <c r="I696" s="12">
        <v>3088.29</v>
      </c>
      <c r="J696" s="4">
        <v>6000</v>
      </c>
      <c r="K696" s="2" t="s">
        <v>47</v>
      </c>
      <c r="L696" s="2" t="s">
        <v>20</v>
      </c>
      <c r="M696" s="17">
        <f t="shared" si="30"/>
        <v>-2911.71</v>
      </c>
      <c r="N696" s="15">
        <f t="shared" si="31"/>
        <v>-3088.29</v>
      </c>
      <c r="O696" t="str">
        <f t="shared" si="32"/>
        <v>No</v>
      </c>
    </row>
    <row r="697" spans="1:15" x14ac:dyDescent="0.3">
      <c r="A697" s="5" t="s">
        <v>810</v>
      </c>
      <c r="B697" s="6">
        <v>45668</v>
      </c>
      <c r="C697" s="5" t="s">
        <v>790</v>
      </c>
      <c r="D697" s="5" t="s">
        <v>14</v>
      </c>
      <c r="E697" s="5" t="s">
        <v>49</v>
      </c>
      <c r="F697" s="5" t="s">
        <v>180</v>
      </c>
      <c r="G697" s="5" t="s">
        <v>181</v>
      </c>
      <c r="H697" s="5" t="s">
        <v>37</v>
      </c>
      <c r="I697" s="14">
        <v>3014.57</v>
      </c>
      <c r="J697" s="7">
        <v>3500</v>
      </c>
      <c r="K697" s="5" t="s">
        <v>47</v>
      </c>
      <c r="L697" s="5" t="s">
        <v>27</v>
      </c>
      <c r="M697" s="17">
        <f t="shared" si="30"/>
        <v>-485.42999999999984</v>
      </c>
      <c r="N697" s="15">
        <f t="shared" si="31"/>
        <v>-3014.57</v>
      </c>
      <c r="O697" t="str">
        <f t="shared" si="32"/>
        <v>No</v>
      </c>
    </row>
    <row r="698" spans="1:15" x14ac:dyDescent="0.3">
      <c r="A698" s="2" t="s">
        <v>811</v>
      </c>
      <c r="B698" s="3">
        <v>45668</v>
      </c>
      <c r="C698" s="2" t="s">
        <v>790</v>
      </c>
      <c r="D698" s="2" t="s">
        <v>14</v>
      </c>
      <c r="E698" s="2" t="s">
        <v>40</v>
      </c>
      <c r="F698" s="2" t="s">
        <v>41</v>
      </c>
      <c r="G698" s="2" t="s">
        <v>42</v>
      </c>
      <c r="H698" s="2" t="s">
        <v>37</v>
      </c>
      <c r="I698" s="12">
        <v>5703.74</v>
      </c>
      <c r="J698" s="4">
        <v>6000</v>
      </c>
      <c r="K698" s="2" t="s">
        <v>47</v>
      </c>
      <c r="L698" s="2" t="s">
        <v>27</v>
      </c>
      <c r="M698" s="17">
        <f t="shared" si="30"/>
        <v>-296.26000000000022</v>
      </c>
      <c r="N698" s="15">
        <f t="shared" si="31"/>
        <v>-5703.74</v>
      </c>
      <c r="O698" t="str">
        <f t="shared" si="32"/>
        <v>No</v>
      </c>
    </row>
    <row r="699" spans="1:15" x14ac:dyDescent="0.3">
      <c r="A699" s="5" t="s">
        <v>812</v>
      </c>
      <c r="B699" s="6">
        <v>45671</v>
      </c>
      <c r="C699" s="5" t="s">
        <v>790</v>
      </c>
      <c r="D699" s="5" t="s">
        <v>14</v>
      </c>
      <c r="E699" s="5" t="s">
        <v>34</v>
      </c>
      <c r="F699" s="5" t="s">
        <v>35</v>
      </c>
      <c r="G699" s="5" t="s">
        <v>36</v>
      </c>
      <c r="H699" s="5" t="s">
        <v>18</v>
      </c>
      <c r="I699" s="14">
        <v>5150.9399999999996</v>
      </c>
      <c r="J699" s="7">
        <v>4000</v>
      </c>
      <c r="K699" s="5" t="s">
        <v>47</v>
      </c>
      <c r="L699" s="5" t="s">
        <v>27</v>
      </c>
      <c r="M699" s="17">
        <f t="shared" si="30"/>
        <v>1150.9399999999996</v>
      </c>
      <c r="N699" s="15">
        <f t="shared" si="31"/>
        <v>-5150.9399999999996</v>
      </c>
      <c r="O699" t="str">
        <f t="shared" si="32"/>
        <v>Yes</v>
      </c>
    </row>
    <row r="700" spans="1:15" x14ac:dyDescent="0.3">
      <c r="A700" s="2" t="s">
        <v>813</v>
      </c>
      <c r="B700" s="3">
        <v>45672</v>
      </c>
      <c r="C700" s="2" t="s">
        <v>790</v>
      </c>
      <c r="D700" s="2" t="s">
        <v>14</v>
      </c>
      <c r="E700" s="2" t="s">
        <v>29</v>
      </c>
      <c r="F700" s="2" t="s">
        <v>238</v>
      </c>
      <c r="G700" s="2" t="s">
        <v>239</v>
      </c>
      <c r="H700" s="2" t="s">
        <v>32</v>
      </c>
      <c r="I700" s="12">
        <v>2501.7600000000002</v>
      </c>
      <c r="J700" s="4">
        <v>3000</v>
      </c>
      <c r="K700" s="2" t="s">
        <v>19</v>
      </c>
      <c r="L700" s="2" t="s">
        <v>20</v>
      </c>
      <c r="M700" s="17">
        <f t="shared" si="30"/>
        <v>-498.23999999999978</v>
      </c>
      <c r="N700" s="15">
        <f t="shared" si="31"/>
        <v>-2501.7600000000002</v>
      </c>
      <c r="O700" t="str">
        <f t="shared" si="32"/>
        <v>No</v>
      </c>
    </row>
    <row r="701" spans="1:15" x14ac:dyDescent="0.3">
      <c r="A701" s="5" t="s">
        <v>814</v>
      </c>
      <c r="B701" s="6">
        <v>45673</v>
      </c>
      <c r="C701" s="5" t="s">
        <v>790</v>
      </c>
      <c r="D701" s="5" t="s">
        <v>14</v>
      </c>
      <c r="E701" s="5" t="s">
        <v>15</v>
      </c>
      <c r="F701" s="5" t="s">
        <v>83</v>
      </c>
      <c r="G701" s="5" t="s">
        <v>84</v>
      </c>
      <c r="H701" s="5" t="s">
        <v>18</v>
      </c>
      <c r="I701" s="14">
        <v>12389.65</v>
      </c>
      <c r="J701" s="7">
        <v>12000</v>
      </c>
      <c r="K701" s="5" t="s">
        <v>19</v>
      </c>
      <c r="L701" s="5" t="s">
        <v>20</v>
      </c>
      <c r="M701" s="17">
        <f t="shared" si="30"/>
        <v>389.64999999999964</v>
      </c>
      <c r="N701" s="15">
        <f t="shared" si="31"/>
        <v>-12389.65</v>
      </c>
      <c r="O701" t="str">
        <f t="shared" si="32"/>
        <v>Yes</v>
      </c>
    </row>
    <row r="702" spans="1:15" x14ac:dyDescent="0.3">
      <c r="A702" s="2" t="s">
        <v>815</v>
      </c>
      <c r="B702" s="3">
        <v>45673</v>
      </c>
      <c r="C702" s="2" t="s">
        <v>790</v>
      </c>
      <c r="D702" s="2" t="s">
        <v>14</v>
      </c>
      <c r="E702" s="2" t="s">
        <v>29</v>
      </c>
      <c r="F702" s="2" t="s">
        <v>109</v>
      </c>
      <c r="G702" s="2" t="s">
        <v>110</v>
      </c>
      <c r="H702" s="2" t="s">
        <v>37</v>
      </c>
      <c r="I702" s="12">
        <v>1580.76</v>
      </c>
      <c r="J702" s="4">
        <v>3000</v>
      </c>
      <c r="K702" s="2" t="s">
        <v>26</v>
      </c>
      <c r="L702" s="2" t="s">
        <v>20</v>
      </c>
      <c r="M702" s="17">
        <f t="shared" si="30"/>
        <v>-1419.24</v>
      </c>
      <c r="N702" s="15">
        <f t="shared" si="31"/>
        <v>-1580.76</v>
      </c>
      <c r="O702" t="str">
        <f t="shared" si="32"/>
        <v>No</v>
      </c>
    </row>
    <row r="703" spans="1:15" x14ac:dyDescent="0.3">
      <c r="A703" s="5" t="s">
        <v>816</v>
      </c>
      <c r="B703" s="6">
        <v>45674</v>
      </c>
      <c r="C703" s="5" t="s">
        <v>790</v>
      </c>
      <c r="D703" s="5" t="s">
        <v>14</v>
      </c>
      <c r="E703" s="5" t="s">
        <v>29</v>
      </c>
      <c r="F703" s="5" t="s">
        <v>238</v>
      </c>
      <c r="G703" s="5" t="s">
        <v>239</v>
      </c>
      <c r="H703" s="5" t="s">
        <v>18</v>
      </c>
      <c r="I703" s="14">
        <v>2501.96</v>
      </c>
      <c r="J703" s="7">
        <v>3000</v>
      </c>
      <c r="K703" s="5" t="s">
        <v>19</v>
      </c>
      <c r="L703" s="5" t="s">
        <v>20</v>
      </c>
      <c r="M703" s="17">
        <f t="shared" si="30"/>
        <v>-498.03999999999996</v>
      </c>
      <c r="N703" s="15">
        <f t="shared" si="31"/>
        <v>-2501.96</v>
      </c>
      <c r="O703" t="str">
        <f t="shared" si="32"/>
        <v>No</v>
      </c>
    </row>
    <row r="704" spans="1:15" x14ac:dyDescent="0.3">
      <c r="A704" s="2" t="s">
        <v>817</v>
      </c>
      <c r="B704" s="3">
        <v>45674</v>
      </c>
      <c r="C704" s="2" t="s">
        <v>790</v>
      </c>
      <c r="D704" s="2" t="s">
        <v>14</v>
      </c>
      <c r="E704" s="2" t="s">
        <v>49</v>
      </c>
      <c r="F704" s="2" t="s">
        <v>50</v>
      </c>
      <c r="G704" s="2" t="s">
        <v>51</v>
      </c>
      <c r="H704" s="2" t="s">
        <v>25</v>
      </c>
      <c r="I704" s="12">
        <v>2434.9299999999998</v>
      </c>
      <c r="J704" s="4">
        <v>3500</v>
      </c>
      <c r="K704" s="2" t="s">
        <v>47</v>
      </c>
      <c r="L704" s="2" t="s">
        <v>27</v>
      </c>
      <c r="M704" s="17">
        <f t="shared" si="30"/>
        <v>-1065.0700000000002</v>
      </c>
      <c r="N704" s="15">
        <f t="shared" si="31"/>
        <v>-2434.9299999999998</v>
      </c>
      <c r="O704" t="str">
        <f t="shared" si="32"/>
        <v>No</v>
      </c>
    </row>
    <row r="705" spans="1:15" x14ac:dyDescent="0.3">
      <c r="A705" s="5" t="s">
        <v>818</v>
      </c>
      <c r="B705" s="6">
        <v>45676</v>
      </c>
      <c r="C705" s="5" t="s">
        <v>790</v>
      </c>
      <c r="D705" s="5" t="s">
        <v>14</v>
      </c>
      <c r="E705" s="5" t="s">
        <v>29</v>
      </c>
      <c r="F705" s="5" t="s">
        <v>109</v>
      </c>
      <c r="G705" s="5" t="s">
        <v>110</v>
      </c>
      <c r="H705" s="5" t="s">
        <v>32</v>
      </c>
      <c r="I705" s="14">
        <v>3879.56</v>
      </c>
      <c r="J705" s="7">
        <v>3000</v>
      </c>
      <c r="K705" s="5" t="s">
        <v>38</v>
      </c>
      <c r="L705" s="5" t="s">
        <v>20</v>
      </c>
      <c r="M705" s="17">
        <f t="shared" si="30"/>
        <v>879.56</v>
      </c>
      <c r="N705" s="15">
        <f t="shared" si="31"/>
        <v>-3879.56</v>
      </c>
      <c r="O705" t="str">
        <f t="shared" si="32"/>
        <v>Yes</v>
      </c>
    </row>
    <row r="706" spans="1:15" x14ac:dyDescent="0.3">
      <c r="A706" s="2" t="s">
        <v>819</v>
      </c>
      <c r="B706" s="3">
        <v>45678</v>
      </c>
      <c r="C706" s="2" t="s">
        <v>790</v>
      </c>
      <c r="D706" s="2" t="s">
        <v>14</v>
      </c>
      <c r="E706" s="2" t="s">
        <v>29</v>
      </c>
      <c r="F706" s="2" t="s">
        <v>238</v>
      </c>
      <c r="G706" s="2" t="s">
        <v>239</v>
      </c>
      <c r="H706" s="2" t="s">
        <v>37</v>
      </c>
      <c r="I706" s="12">
        <v>1951.27</v>
      </c>
      <c r="J706" s="4">
        <v>3000</v>
      </c>
      <c r="K706" s="2" t="s">
        <v>26</v>
      </c>
      <c r="L706" s="2" t="s">
        <v>20</v>
      </c>
      <c r="M706" s="17">
        <f t="shared" si="30"/>
        <v>-1048.73</v>
      </c>
      <c r="N706" s="15">
        <f t="shared" si="31"/>
        <v>-1951.27</v>
      </c>
      <c r="O706" t="str">
        <f t="shared" si="32"/>
        <v>No</v>
      </c>
    </row>
    <row r="707" spans="1:15" x14ac:dyDescent="0.3">
      <c r="A707" s="5" t="s">
        <v>820</v>
      </c>
      <c r="B707" s="6">
        <v>45678</v>
      </c>
      <c r="C707" s="5" t="s">
        <v>790</v>
      </c>
      <c r="D707" s="5" t="s">
        <v>14</v>
      </c>
      <c r="E707" s="5" t="s">
        <v>29</v>
      </c>
      <c r="F707" s="5" t="s">
        <v>238</v>
      </c>
      <c r="G707" s="5" t="s">
        <v>239</v>
      </c>
      <c r="H707" s="5" t="s">
        <v>37</v>
      </c>
      <c r="I707" s="14">
        <v>1986.85</v>
      </c>
      <c r="J707" s="7">
        <v>3000</v>
      </c>
      <c r="K707" s="5" t="s">
        <v>26</v>
      </c>
      <c r="L707" s="5" t="s">
        <v>20</v>
      </c>
      <c r="M707" s="17">
        <f t="shared" ref="M707:M770" si="33">IF(J707=0,"0",I707-J707)</f>
        <v>-1013.1500000000001</v>
      </c>
      <c r="N707" s="15">
        <f t="shared" ref="N707:N770" si="34">IF(D707="Income",I707,-I707)</f>
        <v>-1986.85</v>
      </c>
      <c r="O707" t="str">
        <f t="shared" ref="O707:O770" si="35">IF(M707&gt;0,"Yes","No")</f>
        <v>No</v>
      </c>
    </row>
    <row r="708" spans="1:15" x14ac:dyDescent="0.3">
      <c r="A708" s="2" t="s">
        <v>821</v>
      </c>
      <c r="B708" s="3">
        <v>45678</v>
      </c>
      <c r="C708" s="2" t="s">
        <v>790</v>
      </c>
      <c r="D708" s="2" t="s">
        <v>54</v>
      </c>
      <c r="E708" s="2" t="s">
        <v>87</v>
      </c>
      <c r="F708" s="2" t="s">
        <v>88</v>
      </c>
      <c r="G708" s="2" t="s">
        <v>89</v>
      </c>
      <c r="H708" s="2" t="s">
        <v>18</v>
      </c>
      <c r="I708" s="12">
        <v>7880.15</v>
      </c>
      <c r="J708" s="4">
        <v>0</v>
      </c>
      <c r="K708" s="2" t="s">
        <v>38</v>
      </c>
      <c r="L708" s="2" t="s">
        <v>20</v>
      </c>
      <c r="M708" s="17" t="str">
        <f t="shared" si="33"/>
        <v>0</v>
      </c>
      <c r="N708" s="15">
        <f t="shared" si="34"/>
        <v>7880.15</v>
      </c>
      <c r="O708" t="str">
        <f t="shared" si="35"/>
        <v>Yes</v>
      </c>
    </row>
    <row r="709" spans="1:15" x14ac:dyDescent="0.3">
      <c r="A709" s="5" t="s">
        <v>822</v>
      </c>
      <c r="B709" s="6">
        <v>45678</v>
      </c>
      <c r="C709" s="5" t="s">
        <v>790</v>
      </c>
      <c r="D709" s="5" t="s">
        <v>14</v>
      </c>
      <c r="E709" s="5" t="s">
        <v>40</v>
      </c>
      <c r="F709" s="5" t="s">
        <v>97</v>
      </c>
      <c r="G709" s="5" t="s">
        <v>98</v>
      </c>
      <c r="H709" s="5" t="s">
        <v>37</v>
      </c>
      <c r="I709" s="14">
        <v>3243.64</v>
      </c>
      <c r="J709" s="7">
        <v>6000</v>
      </c>
      <c r="K709" s="5" t="s">
        <v>19</v>
      </c>
      <c r="L709" s="5" t="s">
        <v>27</v>
      </c>
      <c r="M709" s="17">
        <f t="shared" si="33"/>
        <v>-2756.36</v>
      </c>
      <c r="N709" s="15">
        <f t="shared" si="34"/>
        <v>-3243.64</v>
      </c>
      <c r="O709" t="str">
        <f t="shared" si="35"/>
        <v>No</v>
      </c>
    </row>
    <row r="710" spans="1:15" x14ac:dyDescent="0.3">
      <c r="A710" s="2" t="s">
        <v>823</v>
      </c>
      <c r="B710" s="3">
        <v>45680</v>
      </c>
      <c r="C710" s="2" t="s">
        <v>790</v>
      </c>
      <c r="D710" s="2" t="s">
        <v>14</v>
      </c>
      <c r="E710" s="2" t="s">
        <v>112</v>
      </c>
      <c r="F710" s="2" t="s">
        <v>193</v>
      </c>
      <c r="G710" s="2" t="s">
        <v>194</v>
      </c>
      <c r="H710" s="2" t="s">
        <v>25</v>
      </c>
      <c r="I710" s="12">
        <v>7044.88</v>
      </c>
      <c r="J710" s="4">
        <v>8000</v>
      </c>
      <c r="K710" s="2" t="s">
        <v>47</v>
      </c>
      <c r="L710" s="2" t="s">
        <v>20</v>
      </c>
      <c r="M710" s="17">
        <f t="shared" si="33"/>
        <v>-955.11999999999989</v>
      </c>
      <c r="N710" s="15">
        <f t="shared" si="34"/>
        <v>-7044.88</v>
      </c>
      <c r="O710" t="str">
        <f t="shared" si="35"/>
        <v>No</v>
      </c>
    </row>
    <row r="711" spans="1:15" x14ac:dyDescent="0.3">
      <c r="A711" s="5" t="s">
        <v>824</v>
      </c>
      <c r="B711" s="6">
        <v>45680</v>
      </c>
      <c r="C711" s="5" t="s">
        <v>790</v>
      </c>
      <c r="D711" s="5" t="s">
        <v>14</v>
      </c>
      <c r="E711" s="5" t="s">
        <v>34</v>
      </c>
      <c r="F711" s="5" t="s">
        <v>94</v>
      </c>
      <c r="G711" s="5" t="s">
        <v>95</v>
      </c>
      <c r="H711" s="5" t="s">
        <v>37</v>
      </c>
      <c r="I711" s="14">
        <v>3383.36</v>
      </c>
      <c r="J711" s="7">
        <v>4000</v>
      </c>
      <c r="K711" s="5" t="s">
        <v>19</v>
      </c>
      <c r="L711" s="5" t="s">
        <v>27</v>
      </c>
      <c r="M711" s="17">
        <f t="shared" si="33"/>
        <v>-616.63999999999987</v>
      </c>
      <c r="N711" s="15">
        <f t="shared" si="34"/>
        <v>-3383.36</v>
      </c>
      <c r="O711" t="str">
        <f t="shared" si="35"/>
        <v>No</v>
      </c>
    </row>
    <row r="712" spans="1:15" x14ac:dyDescent="0.3">
      <c r="A712" s="2" t="s">
        <v>825</v>
      </c>
      <c r="B712" s="3">
        <v>45681</v>
      </c>
      <c r="C712" s="2" t="s">
        <v>790</v>
      </c>
      <c r="D712" s="2" t="s">
        <v>14</v>
      </c>
      <c r="E712" s="2" t="s">
        <v>44</v>
      </c>
      <c r="F712" s="2" t="s">
        <v>45</v>
      </c>
      <c r="G712" s="2" t="s">
        <v>46</v>
      </c>
      <c r="H712" s="2" t="s">
        <v>37</v>
      </c>
      <c r="I712" s="12">
        <v>16098.35</v>
      </c>
      <c r="J712" s="4">
        <v>15000</v>
      </c>
      <c r="K712" s="2" t="s">
        <v>47</v>
      </c>
      <c r="L712" s="2" t="s">
        <v>20</v>
      </c>
      <c r="M712" s="17">
        <f t="shared" si="33"/>
        <v>1098.3500000000004</v>
      </c>
      <c r="N712" s="15">
        <f t="shared" si="34"/>
        <v>-16098.35</v>
      </c>
      <c r="O712" t="str">
        <f t="shared" si="35"/>
        <v>Yes</v>
      </c>
    </row>
    <row r="713" spans="1:15" x14ac:dyDescent="0.3">
      <c r="A713" s="5" t="s">
        <v>826</v>
      </c>
      <c r="B713" s="6">
        <v>45681</v>
      </c>
      <c r="C713" s="5" t="s">
        <v>790</v>
      </c>
      <c r="D713" s="5" t="s">
        <v>14</v>
      </c>
      <c r="E713" s="5" t="s">
        <v>29</v>
      </c>
      <c r="F713" s="5" t="s">
        <v>80</v>
      </c>
      <c r="G713" s="5" t="s">
        <v>81</v>
      </c>
      <c r="H713" s="5" t="s">
        <v>52</v>
      </c>
      <c r="I713" s="14">
        <v>3484.95</v>
      </c>
      <c r="J713" s="7">
        <v>3000</v>
      </c>
      <c r="K713" s="5" t="s">
        <v>26</v>
      </c>
      <c r="L713" s="5" t="s">
        <v>20</v>
      </c>
      <c r="M713" s="17">
        <f t="shared" si="33"/>
        <v>484.94999999999982</v>
      </c>
      <c r="N713" s="15">
        <f t="shared" si="34"/>
        <v>-3484.95</v>
      </c>
      <c r="O713" t="str">
        <f t="shared" si="35"/>
        <v>Yes</v>
      </c>
    </row>
    <row r="714" spans="1:15" x14ac:dyDescent="0.3">
      <c r="A714" s="2" t="s">
        <v>827</v>
      </c>
      <c r="B714" s="3">
        <v>45681</v>
      </c>
      <c r="C714" s="2" t="s">
        <v>790</v>
      </c>
      <c r="D714" s="2" t="s">
        <v>14</v>
      </c>
      <c r="E714" s="2" t="s">
        <v>15</v>
      </c>
      <c r="F714" s="2" t="s">
        <v>16</v>
      </c>
      <c r="G714" s="2" t="s">
        <v>17</v>
      </c>
      <c r="H714" s="2" t="s">
        <v>18</v>
      </c>
      <c r="I714" s="12">
        <v>7083.92</v>
      </c>
      <c r="J714" s="4">
        <v>12000</v>
      </c>
      <c r="K714" s="2" t="s">
        <v>47</v>
      </c>
      <c r="L714" s="2" t="s">
        <v>20</v>
      </c>
      <c r="M714" s="17">
        <f t="shared" si="33"/>
        <v>-4916.08</v>
      </c>
      <c r="N714" s="15">
        <f t="shared" si="34"/>
        <v>-7083.92</v>
      </c>
      <c r="O714" t="str">
        <f t="shared" si="35"/>
        <v>No</v>
      </c>
    </row>
    <row r="715" spans="1:15" x14ac:dyDescent="0.3">
      <c r="A715" s="5" t="s">
        <v>828</v>
      </c>
      <c r="B715" s="6">
        <v>45682</v>
      </c>
      <c r="C715" s="5" t="s">
        <v>790</v>
      </c>
      <c r="D715" s="5" t="s">
        <v>14</v>
      </c>
      <c r="E715" s="5" t="s">
        <v>29</v>
      </c>
      <c r="F715" s="5" t="s">
        <v>30</v>
      </c>
      <c r="G715" s="5" t="s">
        <v>31</v>
      </c>
      <c r="H715" s="5" t="s">
        <v>18</v>
      </c>
      <c r="I715" s="14">
        <v>1895.09</v>
      </c>
      <c r="J715" s="7">
        <v>3000</v>
      </c>
      <c r="K715" s="5" t="s">
        <v>26</v>
      </c>
      <c r="L715" s="5" t="s">
        <v>20</v>
      </c>
      <c r="M715" s="17">
        <f t="shared" si="33"/>
        <v>-1104.9100000000001</v>
      </c>
      <c r="N715" s="15">
        <f t="shared" si="34"/>
        <v>-1895.09</v>
      </c>
      <c r="O715" t="str">
        <f t="shared" si="35"/>
        <v>No</v>
      </c>
    </row>
    <row r="716" spans="1:15" x14ac:dyDescent="0.3">
      <c r="A716" s="2" t="s">
        <v>829</v>
      </c>
      <c r="B716" s="3">
        <v>45682</v>
      </c>
      <c r="C716" s="2" t="s">
        <v>790</v>
      </c>
      <c r="D716" s="2" t="s">
        <v>14</v>
      </c>
      <c r="E716" s="2" t="s">
        <v>112</v>
      </c>
      <c r="F716" s="2" t="s">
        <v>193</v>
      </c>
      <c r="G716" s="2" t="s">
        <v>194</v>
      </c>
      <c r="H716" s="2" t="s">
        <v>37</v>
      </c>
      <c r="I716" s="12">
        <v>6692.58</v>
      </c>
      <c r="J716" s="4">
        <v>8000</v>
      </c>
      <c r="K716" s="2" t="s">
        <v>26</v>
      </c>
      <c r="L716" s="2" t="s">
        <v>20</v>
      </c>
      <c r="M716" s="17">
        <f t="shared" si="33"/>
        <v>-1307.42</v>
      </c>
      <c r="N716" s="15">
        <f t="shared" si="34"/>
        <v>-6692.58</v>
      </c>
      <c r="O716" t="str">
        <f t="shared" si="35"/>
        <v>No</v>
      </c>
    </row>
    <row r="717" spans="1:15" x14ac:dyDescent="0.3">
      <c r="A717" s="5" t="s">
        <v>830</v>
      </c>
      <c r="B717" s="6">
        <v>45682</v>
      </c>
      <c r="C717" s="5" t="s">
        <v>790</v>
      </c>
      <c r="D717" s="5" t="s">
        <v>14</v>
      </c>
      <c r="E717" s="5" t="s">
        <v>112</v>
      </c>
      <c r="F717" s="5" t="s">
        <v>193</v>
      </c>
      <c r="G717" s="5" t="s">
        <v>194</v>
      </c>
      <c r="H717" s="5" t="s">
        <v>25</v>
      </c>
      <c r="I717" s="14">
        <v>9712.15</v>
      </c>
      <c r="J717" s="7">
        <v>8000</v>
      </c>
      <c r="K717" s="5" t="s">
        <v>38</v>
      </c>
      <c r="L717" s="5" t="s">
        <v>20</v>
      </c>
      <c r="M717" s="17">
        <f t="shared" si="33"/>
        <v>1712.1499999999996</v>
      </c>
      <c r="N717" s="15">
        <f t="shared" si="34"/>
        <v>-9712.15</v>
      </c>
      <c r="O717" t="str">
        <f t="shared" si="35"/>
        <v>Yes</v>
      </c>
    </row>
    <row r="718" spans="1:15" x14ac:dyDescent="0.3">
      <c r="A718" s="2" t="s">
        <v>831</v>
      </c>
      <c r="B718" s="3">
        <v>45683</v>
      </c>
      <c r="C718" s="2" t="s">
        <v>790</v>
      </c>
      <c r="D718" s="2" t="s">
        <v>14</v>
      </c>
      <c r="E718" s="2" t="s">
        <v>34</v>
      </c>
      <c r="F718" s="2" t="s">
        <v>35</v>
      </c>
      <c r="G718" s="2" t="s">
        <v>36</v>
      </c>
      <c r="H718" s="2" t="s">
        <v>37</v>
      </c>
      <c r="I718" s="12">
        <v>3290.36</v>
      </c>
      <c r="J718" s="4">
        <v>4000</v>
      </c>
      <c r="K718" s="2" t="s">
        <v>47</v>
      </c>
      <c r="L718" s="2" t="s">
        <v>27</v>
      </c>
      <c r="M718" s="17">
        <f t="shared" si="33"/>
        <v>-709.63999999999987</v>
      </c>
      <c r="N718" s="15">
        <f t="shared" si="34"/>
        <v>-3290.36</v>
      </c>
      <c r="O718" t="str">
        <f t="shared" si="35"/>
        <v>No</v>
      </c>
    </row>
    <row r="719" spans="1:15" x14ac:dyDescent="0.3">
      <c r="A719" s="5" t="s">
        <v>832</v>
      </c>
      <c r="B719" s="6">
        <v>45683</v>
      </c>
      <c r="C719" s="5" t="s">
        <v>790</v>
      </c>
      <c r="D719" s="5" t="s">
        <v>14</v>
      </c>
      <c r="E719" s="5" t="s">
        <v>44</v>
      </c>
      <c r="F719" s="5" t="s">
        <v>45</v>
      </c>
      <c r="G719" s="5" t="s">
        <v>46</v>
      </c>
      <c r="H719" s="5" t="s">
        <v>18</v>
      </c>
      <c r="I719" s="14">
        <v>15646.93</v>
      </c>
      <c r="J719" s="7">
        <v>15000</v>
      </c>
      <c r="K719" s="5" t="s">
        <v>38</v>
      </c>
      <c r="L719" s="5" t="s">
        <v>20</v>
      </c>
      <c r="M719" s="17">
        <f t="shared" si="33"/>
        <v>646.93000000000029</v>
      </c>
      <c r="N719" s="15">
        <f t="shared" si="34"/>
        <v>-15646.93</v>
      </c>
      <c r="O719" t="str">
        <f t="shared" si="35"/>
        <v>Yes</v>
      </c>
    </row>
    <row r="720" spans="1:15" x14ac:dyDescent="0.3">
      <c r="A720" s="2" t="s">
        <v>833</v>
      </c>
      <c r="B720" s="3">
        <v>45684</v>
      </c>
      <c r="C720" s="2" t="s">
        <v>790</v>
      </c>
      <c r="D720" s="2" t="s">
        <v>14</v>
      </c>
      <c r="E720" s="2" t="s">
        <v>44</v>
      </c>
      <c r="F720" s="2" t="s">
        <v>45</v>
      </c>
      <c r="G720" s="2" t="s">
        <v>46</v>
      </c>
      <c r="H720" s="2" t="s">
        <v>18</v>
      </c>
      <c r="I720" s="12">
        <v>8626.8700000000008</v>
      </c>
      <c r="J720" s="4">
        <v>15000</v>
      </c>
      <c r="K720" s="2" t="s">
        <v>19</v>
      </c>
      <c r="L720" s="2" t="s">
        <v>20</v>
      </c>
      <c r="M720" s="17">
        <f t="shared" si="33"/>
        <v>-6373.1299999999992</v>
      </c>
      <c r="N720" s="15">
        <f t="shared" si="34"/>
        <v>-8626.8700000000008</v>
      </c>
      <c r="O720" t="str">
        <f t="shared" si="35"/>
        <v>No</v>
      </c>
    </row>
    <row r="721" spans="1:15" x14ac:dyDescent="0.3">
      <c r="A721" s="5" t="s">
        <v>834</v>
      </c>
      <c r="B721" s="6">
        <v>45684</v>
      </c>
      <c r="C721" s="5" t="s">
        <v>790</v>
      </c>
      <c r="D721" s="5" t="s">
        <v>54</v>
      </c>
      <c r="E721" s="5" t="s">
        <v>209</v>
      </c>
      <c r="F721" s="5" t="s">
        <v>210</v>
      </c>
      <c r="G721" s="5" t="s">
        <v>211</v>
      </c>
      <c r="H721" s="5" t="s">
        <v>52</v>
      </c>
      <c r="I721" s="14">
        <v>4087.12</v>
      </c>
      <c r="J721" s="7">
        <v>0</v>
      </c>
      <c r="K721" s="5" t="s">
        <v>19</v>
      </c>
      <c r="L721" s="5" t="s">
        <v>27</v>
      </c>
      <c r="M721" s="17" t="str">
        <f t="shared" si="33"/>
        <v>0</v>
      </c>
      <c r="N721" s="15">
        <f t="shared" si="34"/>
        <v>4087.12</v>
      </c>
      <c r="O721" t="str">
        <f t="shared" si="35"/>
        <v>Yes</v>
      </c>
    </row>
    <row r="722" spans="1:15" x14ac:dyDescent="0.3">
      <c r="A722" s="2" t="s">
        <v>835</v>
      </c>
      <c r="B722" s="3">
        <v>45684</v>
      </c>
      <c r="C722" s="2" t="s">
        <v>790</v>
      </c>
      <c r="D722" s="2" t="s">
        <v>14</v>
      </c>
      <c r="E722" s="2" t="s">
        <v>29</v>
      </c>
      <c r="F722" s="2" t="s">
        <v>30</v>
      </c>
      <c r="G722" s="2" t="s">
        <v>31</v>
      </c>
      <c r="H722" s="2" t="s">
        <v>32</v>
      </c>
      <c r="I722" s="12">
        <v>2170.44</v>
      </c>
      <c r="J722" s="4">
        <v>3000</v>
      </c>
      <c r="K722" s="2" t="s">
        <v>47</v>
      </c>
      <c r="L722" s="2" t="s">
        <v>20</v>
      </c>
      <c r="M722" s="17">
        <f t="shared" si="33"/>
        <v>-829.56</v>
      </c>
      <c r="N722" s="15">
        <f t="shared" si="34"/>
        <v>-2170.44</v>
      </c>
      <c r="O722" t="str">
        <f t="shared" si="35"/>
        <v>No</v>
      </c>
    </row>
    <row r="723" spans="1:15" x14ac:dyDescent="0.3">
      <c r="A723" s="5" t="s">
        <v>836</v>
      </c>
      <c r="B723" s="6">
        <v>45686</v>
      </c>
      <c r="C723" s="5" t="s">
        <v>790</v>
      </c>
      <c r="D723" s="5" t="s">
        <v>14</v>
      </c>
      <c r="E723" s="5" t="s">
        <v>29</v>
      </c>
      <c r="F723" s="5" t="s">
        <v>238</v>
      </c>
      <c r="G723" s="5" t="s">
        <v>239</v>
      </c>
      <c r="H723" s="5" t="s">
        <v>32</v>
      </c>
      <c r="I723" s="14">
        <v>3191.39</v>
      </c>
      <c r="J723" s="7">
        <v>3000</v>
      </c>
      <c r="K723" s="5" t="s">
        <v>26</v>
      </c>
      <c r="L723" s="5" t="s">
        <v>20</v>
      </c>
      <c r="M723" s="17">
        <f t="shared" si="33"/>
        <v>191.38999999999987</v>
      </c>
      <c r="N723" s="15">
        <f t="shared" si="34"/>
        <v>-3191.39</v>
      </c>
      <c r="O723" t="str">
        <f t="shared" si="35"/>
        <v>Yes</v>
      </c>
    </row>
    <row r="724" spans="1:15" x14ac:dyDescent="0.3">
      <c r="A724" s="2" t="s">
        <v>837</v>
      </c>
      <c r="B724" s="3">
        <v>45686</v>
      </c>
      <c r="C724" s="2" t="s">
        <v>790</v>
      </c>
      <c r="D724" s="2" t="s">
        <v>54</v>
      </c>
      <c r="E724" s="2" t="s">
        <v>87</v>
      </c>
      <c r="F724" s="2" t="s">
        <v>176</v>
      </c>
      <c r="G724" s="2" t="s">
        <v>177</v>
      </c>
      <c r="H724" s="2" t="s">
        <v>18</v>
      </c>
      <c r="I724" s="12">
        <v>12877.35</v>
      </c>
      <c r="J724" s="4">
        <v>0</v>
      </c>
      <c r="K724" s="2" t="s">
        <v>47</v>
      </c>
      <c r="L724" s="2" t="s">
        <v>27</v>
      </c>
      <c r="M724" s="17" t="str">
        <f t="shared" si="33"/>
        <v>0</v>
      </c>
      <c r="N724" s="15">
        <f t="shared" si="34"/>
        <v>12877.35</v>
      </c>
      <c r="O724" t="str">
        <f t="shared" si="35"/>
        <v>Yes</v>
      </c>
    </row>
    <row r="725" spans="1:15" x14ac:dyDescent="0.3">
      <c r="A725" s="5" t="s">
        <v>838</v>
      </c>
      <c r="B725" s="6">
        <v>45686</v>
      </c>
      <c r="C725" s="5" t="s">
        <v>790</v>
      </c>
      <c r="D725" s="5" t="s">
        <v>14</v>
      </c>
      <c r="E725" s="5" t="s">
        <v>29</v>
      </c>
      <c r="F725" s="5" t="s">
        <v>238</v>
      </c>
      <c r="G725" s="5" t="s">
        <v>239</v>
      </c>
      <c r="H725" s="5" t="s">
        <v>18</v>
      </c>
      <c r="I725" s="14">
        <v>3877.32</v>
      </c>
      <c r="J725" s="7">
        <v>3000</v>
      </c>
      <c r="K725" s="5" t="s">
        <v>38</v>
      </c>
      <c r="L725" s="5" t="s">
        <v>20</v>
      </c>
      <c r="M725" s="17">
        <f t="shared" si="33"/>
        <v>877.32000000000016</v>
      </c>
      <c r="N725" s="15">
        <f t="shared" si="34"/>
        <v>-3877.32</v>
      </c>
      <c r="O725" t="str">
        <f t="shared" si="35"/>
        <v>Yes</v>
      </c>
    </row>
    <row r="726" spans="1:15" x14ac:dyDescent="0.3">
      <c r="A726" s="2" t="s">
        <v>839</v>
      </c>
      <c r="B726" s="3">
        <v>45689</v>
      </c>
      <c r="C726" s="2" t="s">
        <v>840</v>
      </c>
      <c r="D726" s="2" t="s">
        <v>14</v>
      </c>
      <c r="E726" s="2" t="s">
        <v>44</v>
      </c>
      <c r="F726" s="2" t="s">
        <v>45</v>
      </c>
      <c r="G726" s="2" t="s">
        <v>46</v>
      </c>
      <c r="H726" s="2" t="s">
        <v>52</v>
      </c>
      <c r="I726" s="12">
        <v>12744.1</v>
      </c>
      <c r="J726" s="4">
        <v>15000</v>
      </c>
      <c r="K726" s="2" t="s">
        <v>47</v>
      </c>
      <c r="L726" s="2" t="s">
        <v>20</v>
      </c>
      <c r="M726" s="17">
        <f t="shared" si="33"/>
        <v>-2255.8999999999996</v>
      </c>
      <c r="N726" s="15">
        <f t="shared" si="34"/>
        <v>-12744.1</v>
      </c>
      <c r="O726" t="str">
        <f t="shared" si="35"/>
        <v>No</v>
      </c>
    </row>
    <row r="727" spans="1:15" x14ac:dyDescent="0.3">
      <c r="A727" s="5" t="s">
        <v>841</v>
      </c>
      <c r="B727" s="6">
        <v>45690</v>
      </c>
      <c r="C727" s="5" t="s">
        <v>840</v>
      </c>
      <c r="D727" s="5" t="s">
        <v>14</v>
      </c>
      <c r="E727" s="5" t="s">
        <v>44</v>
      </c>
      <c r="F727" s="5" t="s">
        <v>45</v>
      </c>
      <c r="G727" s="5" t="s">
        <v>46</v>
      </c>
      <c r="H727" s="5" t="s">
        <v>18</v>
      </c>
      <c r="I727" s="14">
        <v>18762.990000000002</v>
      </c>
      <c r="J727" s="7">
        <v>15000</v>
      </c>
      <c r="K727" s="5" t="s">
        <v>38</v>
      </c>
      <c r="L727" s="5" t="s">
        <v>20</v>
      </c>
      <c r="M727" s="17">
        <f t="shared" si="33"/>
        <v>3762.9900000000016</v>
      </c>
      <c r="N727" s="15">
        <f t="shared" si="34"/>
        <v>-18762.990000000002</v>
      </c>
      <c r="O727" t="str">
        <f t="shared" si="35"/>
        <v>Yes</v>
      </c>
    </row>
    <row r="728" spans="1:15" x14ac:dyDescent="0.3">
      <c r="A728" s="2" t="s">
        <v>842</v>
      </c>
      <c r="B728" s="3">
        <v>45690</v>
      </c>
      <c r="C728" s="2" t="s">
        <v>840</v>
      </c>
      <c r="D728" s="2" t="s">
        <v>14</v>
      </c>
      <c r="E728" s="2" t="s">
        <v>44</v>
      </c>
      <c r="F728" s="2" t="s">
        <v>45</v>
      </c>
      <c r="G728" s="2" t="s">
        <v>46</v>
      </c>
      <c r="H728" s="2" t="s">
        <v>18</v>
      </c>
      <c r="I728" s="12">
        <v>17106.62</v>
      </c>
      <c r="J728" s="4">
        <v>15000</v>
      </c>
      <c r="K728" s="2" t="s">
        <v>26</v>
      </c>
      <c r="L728" s="2" t="s">
        <v>20</v>
      </c>
      <c r="M728" s="17">
        <f t="shared" si="33"/>
        <v>2106.619999999999</v>
      </c>
      <c r="N728" s="15">
        <f t="shared" si="34"/>
        <v>-17106.62</v>
      </c>
      <c r="O728" t="str">
        <f t="shared" si="35"/>
        <v>Yes</v>
      </c>
    </row>
    <row r="729" spans="1:15" x14ac:dyDescent="0.3">
      <c r="A729" s="5" t="s">
        <v>843</v>
      </c>
      <c r="B729" s="6">
        <v>45691</v>
      </c>
      <c r="C729" s="5" t="s">
        <v>840</v>
      </c>
      <c r="D729" s="5" t="s">
        <v>14</v>
      </c>
      <c r="E729" s="5" t="s">
        <v>29</v>
      </c>
      <c r="F729" s="5" t="s">
        <v>80</v>
      </c>
      <c r="G729" s="5" t="s">
        <v>81</v>
      </c>
      <c r="H729" s="5" t="s">
        <v>18</v>
      </c>
      <c r="I729" s="14">
        <v>3124.85</v>
      </c>
      <c r="J729" s="7">
        <v>3000</v>
      </c>
      <c r="K729" s="5" t="s">
        <v>47</v>
      </c>
      <c r="L729" s="5" t="s">
        <v>20</v>
      </c>
      <c r="M729" s="17">
        <f t="shared" si="33"/>
        <v>124.84999999999991</v>
      </c>
      <c r="N729" s="15">
        <f t="shared" si="34"/>
        <v>-3124.85</v>
      </c>
      <c r="O729" t="str">
        <f t="shared" si="35"/>
        <v>Yes</v>
      </c>
    </row>
    <row r="730" spans="1:15" x14ac:dyDescent="0.3">
      <c r="A730" s="2" t="s">
        <v>844</v>
      </c>
      <c r="B730" s="3">
        <v>45691</v>
      </c>
      <c r="C730" s="2" t="s">
        <v>840</v>
      </c>
      <c r="D730" s="2" t="s">
        <v>54</v>
      </c>
      <c r="E730" s="2" t="s">
        <v>55</v>
      </c>
      <c r="F730" s="2" t="s">
        <v>56</v>
      </c>
      <c r="G730" s="2" t="s">
        <v>57</v>
      </c>
      <c r="H730" s="2" t="s">
        <v>37</v>
      </c>
      <c r="I730" s="12">
        <v>47775.66</v>
      </c>
      <c r="J730" s="4">
        <v>0</v>
      </c>
      <c r="K730" s="2" t="s">
        <v>19</v>
      </c>
      <c r="L730" s="2" t="s">
        <v>20</v>
      </c>
      <c r="M730" s="17" t="str">
        <f t="shared" si="33"/>
        <v>0</v>
      </c>
      <c r="N730" s="15">
        <f t="shared" si="34"/>
        <v>47775.66</v>
      </c>
      <c r="O730" t="str">
        <f t="shared" si="35"/>
        <v>Yes</v>
      </c>
    </row>
    <row r="731" spans="1:15" x14ac:dyDescent="0.3">
      <c r="A731" s="5" t="s">
        <v>845</v>
      </c>
      <c r="B731" s="6">
        <v>45692</v>
      </c>
      <c r="C731" s="5" t="s">
        <v>840</v>
      </c>
      <c r="D731" s="5" t="s">
        <v>14</v>
      </c>
      <c r="E731" s="5" t="s">
        <v>112</v>
      </c>
      <c r="F731" s="5" t="s">
        <v>113</v>
      </c>
      <c r="G731" s="5" t="s">
        <v>114</v>
      </c>
      <c r="H731" s="5" t="s">
        <v>32</v>
      </c>
      <c r="I731" s="14">
        <v>7739.83</v>
      </c>
      <c r="J731" s="7">
        <v>8000</v>
      </c>
      <c r="K731" s="5" t="s">
        <v>47</v>
      </c>
      <c r="L731" s="5" t="s">
        <v>20</v>
      </c>
      <c r="M731" s="17">
        <f t="shared" si="33"/>
        <v>-260.17000000000007</v>
      </c>
      <c r="N731" s="15">
        <f t="shared" si="34"/>
        <v>-7739.83</v>
      </c>
      <c r="O731" t="str">
        <f t="shared" si="35"/>
        <v>No</v>
      </c>
    </row>
    <row r="732" spans="1:15" x14ac:dyDescent="0.3">
      <c r="A732" s="2" t="s">
        <v>846</v>
      </c>
      <c r="B732" s="3">
        <v>45692</v>
      </c>
      <c r="C732" s="2" t="s">
        <v>840</v>
      </c>
      <c r="D732" s="2" t="s">
        <v>14</v>
      </c>
      <c r="E732" s="2" t="s">
        <v>49</v>
      </c>
      <c r="F732" s="2" t="s">
        <v>50</v>
      </c>
      <c r="G732" s="2" t="s">
        <v>51</v>
      </c>
      <c r="H732" s="2" t="s">
        <v>18</v>
      </c>
      <c r="I732" s="12">
        <v>2380.14</v>
      </c>
      <c r="J732" s="4">
        <v>3500</v>
      </c>
      <c r="K732" s="2" t="s">
        <v>19</v>
      </c>
      <c r="L732" s="2" t="s">
        <v>27</v>
      </c>
      <c r="M732" s="17">
        <f t="shared" si="33"/>
        <v>-1119.8600000000001</v>
      </c>
      <c r="N732" s="15">
        <f t="shared" si="34"/>
        <v>-2380.14</v>
      </c>
      <c r="O732" t="str">
        <f t="shared" si="35"/>
        <v>No</v>
      </c>
    </row>
    <row r="733" spans="1:15" x14ac:dyDescent="0.3">
      <c r="A733" s="5" t="s">
        <v>847</v>
      </c>
      <c r="B733" s="6">
        <v>45692</v>
      </c>
      <c r="C733" s="5" t="s">
        <v>840</v>
      </c>
      <c r="D733" s="5" t="s">
        <v>14</v>
      </c>
      <c r="E733" s="5" t="s">
        <v>29</v>
      </c>
      <c r="F733" s="5" t="s">
        <v>238</v>
      </c>
      <c r="G733" s="5" t="s">
        <v>239</v>
      </c>
      <c r="H733" s="5" t="s">
        <v>52</v>
      </c>
      <c r="I733" s="14">
        <v>2313.63</v>
      </c>
      <c r="J733" s="7">
        <v>3000</v>
      </c>
      <c r="K733" s="5" t="s">
        <v>47</v>
      </c>
      <c r="L733" s="5" t="s">
        <v>20</v>
      </c>
      <c r="M733" s="17">
        <f t="shared" si="33"/>
        <v>-686.36999999999989</v>
      </c>
      <c r="N733" s="15">
        <f t="shared" si="34"/>
        <v>-2313.63</v>
      </c>
      <c r="O733" t="str">
        <f t="shared" si="35"/>
        <v>No</v>
      </c>
    </row>
    <row r="734" spans="1:15" x14ac:dyDescent="0.3">
      <c r="A734" s="2" t="s">
        <v>848</v>
      </c>
      <c r="B734" s="3">
        <v>45694</v>
      </c>
      <c r="C734" s="2" t="s">
        <v>840</v>
      </c>
      <c r="D734" s="2" t="s">
        <v>14</v>
      </c>
      <c r="E734" s="2" t="s">
        <v>22</v>
      </c>
      <c r="F734" s="2" t="s">
        <v>154</v>
      </c>
      <c r="G734" s="2" t="s">
        <v>155</v>
      </c>
      <c r="H734" s="2" t="s">
        <v>52</v>
      </c>
      <c r="I734" s="12">
        <v>2060.4</v>
      </c>
      <c r="J734" s="4">
        <v>2500</v>
      </c>
      <c r="K734" s="2" t="s">
        <v>26</v>
      </c>
      <c r="L734" s="2" t="s">
        <v>27</v>
      </c>
      <c r="M734" s="17">
        <f t="shared" si="33"/>
        <v>-439.59999999999991</v>
      </c>
      <c r="N734" s="15">
        <f t="shared" si="34"/>
        <v>-2060.4</v>
      </c>
      <c r="O734" t="str">
        <f t="shared" si="35"/>
        <v>No</v>
      </c>
    </row>
    <row r="735" spans="1:15" x14ac:dyDescent="0.3">
      <c r="A735" s="5" t="s">
        <v>849</v>
      </c>
      <c r="B735" s="6">
        <v>45696</v>
      </c>
      <c r="C735" s="5" t="s">
        <v>840</v>
      </c>
      <c r="D735" s="5" t="s">
        <v>14</v>
      </c>
      <c r="E735" s="5" t="s">
        <v>72</v>
      </c>
      <c r="F735" s="5" t="s">
        <v>132</v>
      </c>
      <c r="G735" s="5" t="s">
        <v>133</v>
      </c>
      <c r="H735" s="5" t="s">
        <v>18</v>
      </c>
      <c r="I735" s="14">
        <v>2253.29</v>
      </c>
      <c r="J735" s="7">
        <v>2000</v>
      </c>
      <c r="K735" s="5" t="s">
        <v>38</v>
      </c>
      <c r="L735" s="5" t="s">
        <v>27</v>
      </c>
      <c r="M735" s="17">
        <f t="shared" si="33"/>
        <v>253.28999999999996</v>
      </c>
      <c r="N735" s="15">
        <f t="shared" si="34"/>
        <v>-2253.29</v>
      </c>
      <c r="O735" t="str">
        <f t="shared" si="35"/>
        <v>Yes</v>
      </c>
    </row>
    <row r="736" spans="1:15" x14ac:dyDescent="0.3">
      <c r="A736" s="2" t="s">
        <v>850</v>
      </c>
      <c r="B736" s="3">
        <v>45696</v>
      </c>
      <c r="C736" s="2" t="s">
        <v>840</v>
      </c>
      <c r="D736" s="2" t="s">
        <v>14</v>
      </c>
      <c r="E736" s="2" t="s">
        <v>29</v>
      </c>
      <c r="F736" s="2" t="s">
        <v>30</v>
      </c>
      <c r="G736" s="2" t="s">
        <v>31</v>
      </c>
      <c r="H736" s="2" t="s">
        <v>37</v>
      </c>
      <c r="I736" s="12">
        <v>2937.93</v>
      </c>
      <c r="J736" s="4">
        <v>3000</v>
      </c>
      <c r="K736" s="2" t="s">
        <v>19</v>
      </c>
      <c r="L736" s="2" t="s">
        <v>20</v>
      </c>
      <c r="M736" s="17">
        <f t="shared" si="33"/>
        <v>-62.070000000000164</v>
      </c>
      <c r="N736" s="15">
        <f t="shared" si="34"/>
        <v>-2937.93</v>
      </c>
      <c r="O736" t="str">
        <f t="shared" si="35"/>
        <v>No</v>
      </c>
    </row>
    <row r="737" spans="1:15" x14ac:dyDescent="0.3">
      <c r="A737" s="5" t="s">
        <v>851</v>
      </c>
      <c r="B737" s="6">
        <v>45696</v>
      </c>
      <c r="C737" s="5" t="s">
        <v>840</v>
      </c>
      <c r="D737" s="5" t="s">
        <v>14</v>
      </c>
      <c r="E737" s="5" t="s">
        <v>34</v>
      </c>
      <c r="F737" s="5" t="s">
        <v>94</v>
      </c>
      <c r="G737" s="5" t="s">
        <v>95</v>
      </c>
      <c r="H737" s="5" t="s">
        <v>37</v>
      </c>
      <c r="I737" s="14">
        <v>4042.67</v>
      </c>
      <c r="J737" s="7">
        <v>4000</v>
      </c>
      <c r="K737" s="5" t="s">
        <v>38</v>
      </c>
      <c r="L737" s="5" t="s">
        <v>27</v>
      </c>
      <c r="M737" s="17">
        <f t="shared" si="33"/>
        <v>42.670000000000073</v>
      </c>
      <c r="N737" s="15">
        <f t="shared" si="34"/>
        <v>-4042.67</v>
      </c>
      <c r="O737" t="str">
        <f t="shared" si="35"/>
        <v>Yes</v>
      </c>
    </row>
    <row r="738" spans="1:15" x14ac:dyDescent="0.3">
      <c r="A738" s="2" t="s">
        <v>852</v>
      </c>
      <c r="B738" s="3">
        <v>45696</v>
      </c>
      <c r="C738" s="2" t="s">
        <v>840</v>
      </c>
      <c r="D738" s="2" t="s">
        <v>14</v>
      </c>
      <c r="E738" s="2" t="s">
        <v>49</v>
      </c>
      <c r="F738" s="2" t="s">
        <v>180</v>
      </c>
      <c r="G738" s="2" t="s">
        <v>181</v>
      </c>
      <c r="H738" s="2" t="s">
        <v>37</v>
      </c>
      <c r="I738" s="12">
        <v>3943.53</v>
      </c>
      <c r="J738" s="4">
        <v>3500</v>
      </c>
      <c r="K738" s="2" t="s">
        <v>47</v>
      </c>
      <c r="L738" s="2" t="s">
        <v>27</v>
      </c>
      <c r="M738" s="17">
        <f t="shared" si="33"/>
        <v>443.5300000000002</v>
      </c>
      <c r="N738" s="15">
        <f t="shared" si="34"/>
        <v>-3943.53</v>
      </c>
      <c r="O738" t="str">
        <f t="shared" si="35"/>
        <v>Yes</v>
      </c>
    </row>
    <row r="739" spans="1:15" x14ac:dyDescent="0.3">
      <c r="A739" s="5" t="s">
        <v>853</v>
      </c>
      <c r="B739" s="6">
        <v>45696</v>
      </c>
      <c r="C739" s="5" t="s">
        <v>840</v>
      </c>
      <c r="D739" s="5" t="s">
        <v>14</v>
      </c>
      <c r="E739" s="5" t="s">
        <v>40</v>
      </c>
      <c r="F739" s="5" t="s">
        <v>41</v>
      </c>
      <c r="G739" s="5" t="s">
        <v>42</v>
      </c>
      <c r="H739" s="5" t="s">
        <v>37</v>
      </c>
      <c r="I739" s="14">
        <v>6362.17</v>
      </c>
      <c r="J739" s="7">
        <v>6000</v>
      </c>
      <c r="K739" s="5" t="s">
        <v>38</v>
      </c>
      <c r="L739" s="5" t="s">
        <v>27</v>
      </c>
      <c r="M739" s="17">
        <f t="shared" si="33"/>
        <v>362.17000000000007</v>
      </c>
      <c r="N739" s="15">
        <f t="shared" si="34"/>
        <v>-6362.17</v>
      </c>
      <c r="O739" t="str">
        <f t="shared" si="35"/>
        <v>Yes</v>
      </c>
    </row>
    <row r="740" spans="1:15" x14ac:dyDescent="0.3">
      <c r="A740" s="2" t="s">
        <v>854</v>
      </c>
      <c r="B740" s="3">
        <v>45696</v>
      </c>
      <c r="C740" s="2" t="s">
        <v>840</v>
      </c>
      <c r="D740" s="2" t="s">
        <v>14</v>
      </c>
      <c r="E740" s="2" t="s">
        <v>49</v>
      </c>
      <c r="F740" s="2" t="s">
        <v>180</v>
      </c>
      <c r="G740" s="2" t="s">
        <v>181</v>
      </c>
      <c r="H740" s="2" t="s">
        <v>25</v>
      </c>
      <c r="I740" s="12">
        <v>2996.33</v>
      </c>
      <c r="J740" s="4">
        <v>3500</v>
      </c>
      <c r="K740" s="2" t="s">
        <v>26</v>
      </c>
      <c r="L740" s="2" t="s">
        <v>20</v>
      </c>
      <c r="M740" s="17">
        <f t="shared" si="33"/>
        <v>-503.67000000000007</v>
      </c>
      <c r="N740" s="15">
        <f t="shared" si="34"/>
        <v>-2996.33</v>
      </c>
      <c r="O740" t="str">
        <f t="shared" si="35"/>
        <v>No</v>
      </c>
    </row>
    <row r="741" spans="1:15" x14ac:dyDescent="0.3">
      <c r="A741" s="5" t="s">
        <v>855</v>
      </c>
      <c r="B741" s="6">
        <v>45697</v>
      </c>
      <c r="C741" s="5" t="s">
        <v>840</v>
      </c>
      <c r="D741" s="5" t="s">
        <v>14</v>
      </c>
      <c r="E741" s="5" t="s">
        <v>40</v>
      </c>
      <c r="F741" s="5" t="s">
        <v>41</v>
      </c>
      <c r="G741" s="5" t="s">
        <v>42</v>
      </c>
      <c r="H741" s="5" t="s">
        <v>18</v>
      </c>
      <c r="I741" s="14">
        <v>4958.59</v>
      </c>
      <c r="J741" s="7">
        <v>6000</v>
      </c>
      <c r="K741" s="5" t="s">
        <v>26</v>
      </c>
      <c r="L741" s="5" t="s">
        <v>27</v>
      </c>
      <c r="M741" s="17">
        <f t="shared" si="33"/>
        <v>-1041.4099999999999</v>
      </c>
      <c r="N741" s="15">
        <f t="shared" si="34"/>
        <v>-4958.59</v>
      </c>
      <c r="O741" t="str">
        <f t="shared" si="35"/>
        <v>No</v>
      </c>
    </row>
    <row r="742" spans="1:15" x14ac:dyDescent="0.3">
      <c r="A742" s="2" t="s">
        <v>856</v>
      </c>
      <c r="B742" s="3">
        <v>45697</v>
      </c>
      <c r="C742" s="2" t="s">
        <v>840</v>
      </c>
      <c r="D742" s="2" t="s">
        <v>14</v>
      </c>
      <c r="E742" s="2" t="s">
        <v>112</v>
      </c>
      <c r="F742" s="2" t="s">
        <v>135</v>
      </c>
      <c r="G742" s="2" t="s">
        <v>136</v>
      </c>
      <c r="H742" s="2" t="s">
        <v>18</v>
      </c>
      <c r="I742" s="12">
        <v>9294.57</v>
      </c>
      <c r="J742" s="4">
        <v>8000</v>
      </c>
      <c r="K742" s="2" t="s">
        <v>19</v>
      </c>
      <c r="L742" s="2" t="s">
        <v>20</v>
      </c>
      <c r="M742" s="17">
        <f t="shared" si="33"/>
        <v>1294.5699999999997</v>
      </c>
      <c r="N742" s="15">
        <f t="shared" si="34"/>
        <v>-9294.57</v>
      </c>
      <c r="O742" t="str">
        <f t="shared" si="35"/>
        <v>Yes</v>
      </c>
    </row>
    <row r="743" spans="1:15" x14ac:dyDescent="0.3">
      <c r="A743" s="5" t="s">
        <v>857</v>
      </c>
      <c r="B743" s="6">
        <v>45698</v>
      </c>
      <c r="C743" s="5" t="s">
        <v>840</v>
      </c>
      <c r="D743" s="5" t="s">
        <v>14</v>
      </c>
      <c r="E743" s="5" t="s">
        <v>29</v>
      </c>
      <c r="F743" s="5" t="s">
        <v>30</v>
      </c>
      <c r="G743" s="5" t="s">
        <v>31</v>
      </c>
      <c r="H743" s="5" t="s">
        <v>32</v>
      </c>
      <c r="I743" s="14">
        <v>2644.86</v>
      </c>
      <c r="J743" s="7">
        <v>3000</v>
      </c>
      <c r="K743" s="5" t="s">
        <v>19</v>
      </c>
      <c r="L743" s="5" t="s">
        <v>20</v>
      </c>
      <c r="M743" s="17">
        <f t="shared" si="33"/>
        <v>-355.13999999999987</v>
      </c>
      <c r="N743" s="15">
        <f t="shared" si="34"/>
        <v>-2644.86</v>
      </c>
      <c r="O743" t="str">
        <f t="shared" si="35"/>
        <v>No</v>
      </c>
    </row>
    <row r="744" spans="1:15" x14ac:dyDescent="0.3">
      <c r="A744" s="2" t="s">
        <v>858</v>
      </c>
      <c r="B744" s="3">
        <v>45700</v>
      </c>
      <c r="C744" s="2" t="s">
        <v>840</v>
      </c>
      <c r="D744" s="2" t="s">
        <v>54</v>
      </c>
      <c r="E744" s="2" t="s">
        <v>55</v>
      </c>
      <c r="F744" s="2" t="s">
        <v>56</v>
      </c>
      <c r="G744" s="2" t="s">
        <v>57</v>
      </c>
      <c r="H744" s="2" t="s">
        <v>18</v>
      </c>
      <c r="I744" s="12">
        <v>48659.32</v>
      </c>
      <c r="J744" s="4">
        <v>0</v>
      </c>
      <c r="K744" s="2" t="s">
        <v>26</v>
      </c>
      <c r="L744" s="2" t="s">
        <v>20</v>
      </c>
      <c r="M744" s="17" t="str">
        <f t="shared" si="33"/>
        <v>0</v>
      </c>
      <c r="N744" s="15">
        <f t="shared" si="34"/>
        <v>48659.32</v>
      </c>
      <c r="O744" t="str">
        <f t="shared" si="35"/>
        <v>Yes</v>
      </c>
    </row>
    <row r="745" spans="1:15" x14ac:dyDescent="0.3">
      <c r="A745" s="5" t="s">
        <v>859</v>
      </c>
      <c r="B745" s="6">
        <v>45700</v>
      </c>
      <c r="C745" s="5" t="s">
        <v>840</v>
      </c>
      <c r="D745" s="5" t="s">
        <v>14</v>
      </c>
      <c r="E745" s="5" t="s">
        <v>104</v>
      </c>
      <c r="F745" s="5" t="s">
        <v>105</v>
      </c>
      <c r="G745" s="5" t="s">
        <v>106</v>
      </c>
      <c r="H745" s="5" t="s">
        <v>18</v>
      </c>
      <c r="I745" s="14">
        <v>2459.6</v>
      </c>
      <c r="J745" s="7">
        <v>2000</v>
      </c>
      <c r="K745" s="5" t="s">
        <v>38</v>
      </c>
      <c r="L745" s="5" t="s">
        <v>20</v>
      </c>
      <c r="M745" s="17">
        <f t="shared" si="33"/>
        <v>459.59999999999991</v>
      </c>
      <c r="N745" s="15">
        <f t="shared" si="34"/>
        <v>-2459.6</v>
      </c>
      <c r="O745" t="str">
        <f t="shared" si="35"/>
        <v>Yes</v>
      </c>
    </row>
    <row r="746" spans="1:15" x14ac:dyDescent="0.3">
      <c r="A746" s="2" t="s">
        <v>860</v>
      </c>
      <c r="B746" s="3">
        <v>45701</v>
      </c>
      <c r="C746" s="2" t="s">
        <v>840</v>
      </c>
      <c r="D746" s="2" t="s">
        <v>14</v>
      </c>
      <c r="E746" s="2" t="s">
        <v>44</v>
      </c>
      <c r="F746" s="2" t="s">
        <v>45</v>
      </c>
      <c r="G746" s="2" t="s">
        <v>46</v>
      </c>
      <c r="H746" s="2" t="s">
        <v>18</v>
      </c>
      <c r="I746" s="12">
        <v>7875.74</v>
      </c>
      <c r="J746" s="4">
        <v>15000</v>
      </c>
      <c r="K746" s="2" t="s">
        <v>38</v>
      </c>
      <c r="L746" s="2" t="s">
        <v>20</v>
      </c>
      <c r="M746" s="17">
        <f t="shared" si="33"/>
        <v>-7124.26</v>
      </c>
      <c r="N746" s="15">
        <f t="shared" si="34"/>
        <v>-7875.74</v>
      </c>
      <c r="O746" t="str">
        <f t="shared" si="35"/>
        <v>No</v>
      </c>
    </row>
    <row r="747" spans="1:15" x14ac:dyDescent="0.3">
      <c r="A747" s="5" t="s">
        <v>861</v>
      </c>
      <c r="B747" s="6">
        <v>45702</v>
      </c>
      <c r="C747" s="5" t="s">
        <v>840</v>
      </c>
      <c r="D747" s="5" t="s">
        <v>14</v>
      </c>
      <c r="E747" s="5" t="s">
        <v>22</v>
      </c>
      <c r="F747" s="5" t="s">
        <v>154</v>
      </c>
      <c r="G747" s="5" t="s">
        <v>155</v>
      </c>
      <c r="H747" s="5" t="s">
        <v>37</v>
      </c>
      <c r="I747" s="14">
        <v>2638.7</v>
      </c>
      <c r="J747" s="7">
        <v>2500</v>
      </c>
      <c r="K747" s="5" t="s">
        <v>38</v>
      </c>
      <c r="L747" s="5" t="s">
        <v>20</v>
      </c>
      <c r="M747" s="17">
        <f t="shared" si="33"/>
        <v>138.69999999999982</v>
      </c>
      <c r="N747" s="15">
        <f t="shared" si="34"/>
        <v>-2638.7</v>
      </c>
      <c r="O747" t="str">
        <f t="shared" si="35"/>
        <v>Yes</v>
      </c>
    </row>
    <row r="748" spans="1:15" x14ac:dyDescent="0.3">
      <c r="A748" s="2" t="s">
        <v>862</v>
      </c>
      <c r="B748" s="3">
        <v>45702</v>
      </c>
      <c r="C748" s="2" t="s">
        <v>840</v>
      </c>
      <c r="D748" s="2" t="s">
        <v>14</v>
      </c>
      <c r="E748" s="2" t="s">
        <v>49</v>
      </c>
      <c r="F748" s="2" t="s">
        <v>50</v>
      </c>
      <c r="G748" s="2" t="s">
        <v>51</v>
      </c>
      <c r="H748" s="2" t="s">
        <v>37</v>
      </c>
      <c r="I748" s="12">
        <v>2067.52</v>
      </c>
      <c r="J748" s="4">
        <v>3500</v>
      </c>
      <c r="K748" s="2" t="s">
        <v>47</v>
      </c>
      <c r="L748" s="2" t="s">
        <v>27</v>
      </c>
      <c r="M748" s="17">
        <f t="shared" si="33"/>
        <v>-1432.48</v>
      </c>
      <c r="N748" s="15">
        <f t="shared" si="34"/>
        <v>-2067.52</v>
      </c>
      <c r="O748" t="str">
        <f t="shared" si="35"/>
        <v>No</v>
      </c>
    </row>
    <row r="749" spans="1:15" x14ac:dyDescent="0.3">
      <c r="A749" s="5" t="s">
        <v>863</v>
      </c>
      <c r="B749" s="6">
        <v>45702</v>
      </c>
      <c r="C749" s="5" t="s">
        <v>840</v>
      </c>
      <c r="D749" s="5" t="s">
        <v>14</v>
      </c>
      <c r="E749" s="5" t="s">
        <v>44</v>
      </c>
      <c r="F749" s="5" t="s">
        <v>45</v>
      </c>
      <c r="G749" s="5" t="s">
        <v>46</v>
      </c>
      <c r="H749" s="5" t="s">
        <v>18</v>
      </c>
      <c r="I749" s="14">
        <v>16214.27</v>
      </c>
      <c r="J749" s="7">
        <v>15000</v>
      </c>
      <c r="K749" s="5" t="s">
        <v>26</v>
      </c>
      <c r="L749" s="5" t="s">
        <v>20</v>
      </c>
      <c r="M749" s="17">
        <f t="shared" si="33"/>
        <v>1214.2700000000004</v>
      </c>
      <c r="N749" s="15">
        <f t="shared" si="34"/>
        <v>-16214.27</v>
      </c>
      <c r="O749" t="str">
        <f t="shared" si="35"/>
        <v>Yes</v>
      </c>
    </row>
    <row r="750" spans="1:15" x14ac:dyDescent="0.3">
      <c r="A750" s="2" t="s">
        <v>864</v>
      </c>
      <c r="B750" s="3">
        <v>45702</v>
      </c>
      <c r="C750" s="2" t="s">
        <v>840</v>
      </c>
      <c r="D750" s="2" t="s">
        <v>54</v>
      </c>
      <c r="E750" s="2" t="s">
        <v>87</v>
      </c>
      <c r="F750" s="2" t="s">
        <v>176</v>
      </c>
      <c r="G750" s="2" t="s">
        <v>177</v>
      </c>
      <c r="H750" s="2" t="s">
        <v>37</v>
      </c>
      <c r="I750" s="12">
        <v>12846.76</v>
      </c>
      <c r="J750" s="4">
        <v>0</v>
      </c>
      <c r="K750" s="2" t="s">
        <v>19</v>
      </c>
      <c r="L750" s="2" t="s">
        <v>27</v>
      </c>
      <c r="M750" s="17" t="str">
        <f t="shared" si="33"/>
        <v>0</v>
      </c>
      <c r="N750" s="15">
        <f t="shared" si="34"/>
        <v>12846.76</v>
      </c>
      <c r="O750" t="str">
        <f t="shared" si="35"/>
        <v>Yes</v>
      </c>
    </row>
    <row r="751" spans="1:15" x14ac:dyDescent="0.3">
      <c r="A751" s="5" t="s">
        <v>865</v>
      </c>
      <c r="B751" s="6">
        <v>45702</v>
      </c>
      <c r="C751" s="5" t="s">
        <v>840</v>
      </c>
      <c r="D751" s="5" t="s">
        <v>14</v>
      </c>
      <c r="E751" s="5" t="s">
        <v>29</v>
      </c>
      <c r="F751" s="5" t="s">
        <v>109</v>
      </c>
      <c r="G751" s="5" t="s">
        <v>110</v>
      </c>
      <c r="H751" s="5" t="s">
        <v>32</v>
      </c>
      <c r="I751" s="14">
        <v>3800.62</v>
      </c>
      <c r="J751" s="7">
        <v>3000</v>
      </c>
      <c r="K751" s="5" t="s">
        <v>38</v>
      </c>
      <c r="L751" s="5" t="s">
        <v>20</v>
      </c>
      <c r="M751" s="17">
        <f t="shared" si="33"/>
        <v>800.61999999999989</v>
      </c>
      <c r="N751" s="15">
        <f t="shared" si="34"/>
        <v>-3800.62</v>
      </c>
      <c r="O751" t="str">
        <f t="shared" si="35"/>
        <v>Yes</v>
      </c>
    </row>
    <row r="752" spans="1:15" x14ac:dyDescent="0.3">
      <c r="A752" s="2" t="s">
        <v>866</v>
      </c>
      <c r="B752" s="3">
        <v>45703</v>
      </c>
      <c r="C752" s="2" t="s">
        <v>840</v>
      </c>
      <c r="D752" s="2" t="s">
        <v>14</v>
      </c>
      <c r="E752" s="2" t="s">
        <v>22</v>
      </c>
      <c r="F752" s="2" t="s">
        <v>154</v>
      </c>
      <c r="G752" s="2" t="s">
        <v>155</v>
      </c>
      <c r="H752" s="2" t="s">
        <v>25</v>
      </c>
      <c r="I752" s="12">
        <v>2393.79</v>
      </c>
      <c r="J752" s="4">
        <v>2500</v>
      </c>
      <c r="K752" s="2" t="s">
        <v>26</v>
      </c>
      <c r="L752" s="2" t="s">
        <v>20</v>
      </c>
      <c r="M752" s="17">
        <f t="shared" si="33"/>
        <v>-106.21000000000004</v>
      </c>
      <c r="N752" s="15">
        <f t="shared" si="34"/>
        <v>-2393.79</v>
      </c>
      <c r="O752" t="str">
        <f t="shared" si="35"/>
        <v>No</v>
      </c>
    </row>
    <row r="753" spans="1:15" x14ac:dyDescent="0.3">
      <c r="A753" s="5" t="s">
        <v>867</v>
      </c>
      <c r="B753" s="6">
        <v>45703</v>
      </c>
      <c r="C753" s="5" t="s">
        <v>840</v>
      </c>
      <c r="D753" s="5" t="s">
        <v>14</v>
      </c>
      <c r="E753" s="5" t="s">
        <v>49</v>
      </c>
      <c r="F753" s="5" t="s">
        <v>180</v>
      </c>
      <c r="G753" s="5" t="s">
        <v>181</v>
      </c>
      <c r="H753" s="5" t="s">
        <v>18</v>
      </c>
      <c r="I753" s="14">
        <v>2112.4899999999998</v>
      </c>
      <c r="J753" s="7">
        <v>3500</v>
      </c>
      <c r="K753" s="5" t="s">
        <v>19</v>
      </c>
      <c r="L753" s="5" t="s">
        <v>27</v>
      </c>
      <c r="M753" s="17">
        <f t="shared" si="33"/>
        <v>-1387.5100000000002</v>
      </c>
      <c r="N753" s="15">
        <f t="shared" si="34"/>
        <v>-2112.4899999999998</v>
      </c>
      <c r="O753" t="str">
        <f t="shared" si="35"/>
        <v>No</v>
      </c>
    </row>
    <row r="754" spans="1:15" x14ac:dyDescent="0.3">
      <c r="A754" s="2" t="s">
        <v>868</v>
      </c>
      <c r="B754" s="3">
        <v>45704</v>
      </c>
      <c r="C754" s="2" t="s">
        <v>840</v>
      </c>
      <c r="D754" s="2" t="s">
        <v>14</v>
      </c>
      <c r="E754" s="2" t="s">
        <v>22</v>
      </c>
      <c r="F754" s="2" t="s">
        <v>66</v>
      </c>
      <c r="G754" s="2" t="s">
        <v>67</v>
      </c>
      <c r="H754" s="2" t="s">
        <v>25</v>
      </c>
      <c r="I754" s="12">
        <v>2626.58</v>
      </c>
      <c r="J754" s="4">
        <v>2500</v>
      </c>
      <c r="K754" s="2" t="s">
        <v>38</v>
      </c>
      <c r="L754" s="2" t="s">
        <v>27</v>
      </c>
      <c r="M754" s="17">
        <f t="shared" si="33"/>
        <v>126.57999999999993</v>
      </c>
      <c r="N754" s="15">
        <f t="shared" si="34"/>
        <v>-2626.58</v>
      </c>
      <c r="O754" t="str">
        <f t="shared" si="35"/>
        <v>Yes</v>
      </c>
    </row>
    <row r="755" spans="1:15" x14ac:dyDescent="0.3">
      <c r="A755" s="5" t="s">
        <v>869</v>
      </c>
      <c r="B755" s="6">
        <v>45705</v>
      </c>
      <c r="C755" s="5" t="s">
        <v>840</v>
      </c>
      <c r="D755" s="5" t="s">
        <v>14</v>
      </c>
      <c r="E755" s="5" t="s">
        <v>112</v>
      </c>
      <c r="F755" s="5" t="s">
        <v>193</v>
      </c>
      <c r="G755" s="5" t="s">
        <v>194</v>
      </c>
      <c r="H755" s="5" t="s">
        <v>37</v>
      </c>
      <c r="I755" s="14">
        <v>7495.93</v>
      </c>
      <c r="J755" s="7">
        <v>8000</v>
      </c>
      <c r="K755" s="5" t="s">
        <v>38</v>
      </c>
      <c r="L755" s="5" t="s">
        <v>20</v>
      </c>
      <c r="M755" s="17">
        <f t="shared" si="33"/>
        <v>-504.06999999999971</v>
      </c>
      <c r="N755" s="15">
        <f t="shared" si="34"/>
        <v>-7495.93</v>
      </c>
      <c r="O755" t="str">
        <f t="shared" si="35"/>
        <v>No</v>
      </c>
    </row>
    <row r="756" spans="1:15" x14ac:dyDescent="0.3">
      <c r="A756" s="2" t="s">
        <v>870</v>
      </c>
      <c r="B756" s="3">
        <v>45706</v>
      </c>
      <c r="C756" s="2" t="s">
        <v>840</v>
      </c>
      <c r="D756" s="2" t="s">
        <v>14</v>
      </c>
      <c r="E756" s="2" t="s">
        <v>40</v>
      </c>
      <c r="F756" s="2" t="s">
        <v>41</v>
      </c>
      <c r="G756" s="2" t="s">
        <v>42</v>
      </c>
      <c r="H756" s="2" t="s">
        <v>37</v>
      </c>
      <c r="I756" s="12">
        <v>7787.44</v>
      </c>
      <c r="J756" s="4">
        <v>6000</v>
      </c>
      <c r="K756" s="2" t="s">
        <v>19</v>
      </c>
      <c r="L756" s="2" t="s">
        <v>27</v>
      </c>
      <c r="M756" s="17">
        <f t="shared" si="33"/>
        <v>1787.4399999999996</v>
      </c>
      <c r="N756" s="15">
        <f t="shared" si="34"/>
        <v>-7787.44</v>
      </c>
      <c r="O756" t="str">
        <f t="shared" si="35"/>
        <v>Yes</v>
      </c>
    </row>
    <row r="757" spans="1:15" x14ac:dyDescent="0.3">
      <c r="A757" s="5" t="s">
        <v>871</v>
      </c>
      <c r="B757" s="6">
        <v>45707</v>
      </c>
      <c r="C757" s="5" t="s">
        <v>840</v>
      </c>
      <c r="D757" s="5" t="s">
        <v>14</v>
      </c>
      <c r="E757" s="5" t="s">
        <v>22</v>
      </c>
      <c r="F757" s="5" t="s">
        <v>66</v>
      </c>
      <c r="G757" s="5" t="s">
        <v>67</v>
      </c>
      <c r="H757" s="5" t="s">
        <v>52</v>
      </c>
      <c r="I757" s="14">
        <v>1580.93</v>
      </c>
      <c r="J757" s="7">
        <v>2500</v>
      </c>
      <c r="K757" s="5" t="s">
        <v>19</v>
      </c>
      <c r="L757" s="5" t="s">
        <v>27</v>
      </c>
      <c r="M757" s="17">
        <f t="shared" si="33"/>
        <v>-919.06999999999994</v>
      </c>
      <c r="N757" s="15">
        <f t="shared" si="34"/>
        <v>-1580.93</v>
      </c>
      <c r="O757" t="str">
        <f t="shared" si="35"/>
        <v>No</v>
      </c>
    </row>
    <row r="758" spans="1:15" x14ac:dyDescent="0.3">
      <c r="A758" s="2" t="s">
        <v>872</v>
      </c>
      <c r="B758" s="3">
        <v>45707</v>
      </c>
      <c r="C758" s="2" t="s">
        <v>840</v>
      </c>
      <c r="D758" s="2" t="s">
        <v>14</v>
      </c>
      <c r="E758" s="2" t="s">
        <v>40</v>
      </c>
      <c r="F758" s="2" t="s">
        <v>97</v>
      </c>
      <c r="G758" s="2" t="s">
        <v>98</v>
      </c>
      <c r="H758" s="2" t="s">
        <v>18</v>
      </c>
      <c r="I758" s="12">
        <v>4311.28</v>
      </c>
      <c r="J758" s="4">
        <v>6000</v>
      </c>
      <c r="K758" s="2" t="s">
        <v>26</v>
      </c>
      <c r="L758" s="2" t="s">
        <v>20</v>
      </c>
      <c r="M758" s="17">
        <f t="shared" si="33"/>
        <v>-1688.7200000000003</v>
      </c>
      <c r="N758" s="15">
        <f t="shared" si="34"/>
        <v>-4311.28</v>
      </c>
      <c r="O758" t="str">
        <f t="shared" si="35"/>
        <v>No</v>
      </c>
    </row>
    <row r="759" spans="1:15" x14ac:dyDescent="0.3">
      <c r="A759" s="5" t="s">
        <v>873</v>
      </c>
      <c r="B759" s="6">
        <v>45708</v>
      </c>
      <c r="C759" s="5" t="s">
        <v>840</v>
      </c>
      <c r="D759" s="5" t="s">
        <v>14</v>
      </c>
      <c r="E759" s="5" t="s">
        <v>44</v>
      </c>
      <c r="F759" s="5" t="s">
        <v>45</v>
      </c>
      <c r="G759" s="5" t="s">
        <v>46</v>
      </c>
      <c r="H759" s="5" t="s">
        <v>25</v>
      </c>
      <c r="I759" s="14">
        <v>10056.280000000001</v>
      </c>
      <c r="J759" s="7">
        <v>15000</v>
      </c>
      <c r="K759" s="5" t="s">
        <v>47</v>
      </c>
      <c r="L759" s="5" t="s">
        <v>20</v>
      </c>
      <c r="M759" s="17">
        <f t="shared" si="33"/>
        <v>-4943.7199999999993</v>
      </c>
      <c r="N759" s="15">
        <f t="shared" si="34"/>
        <v>-10056.280000000001</v>
      </c>
      <c r="O759" t="str">
        <f t="shared" si="35"/>
        <v>No</v>
      </c>
    </row>
    <row r="760" spans="1:15" x14ac:dyDescent="0.3">
      <c r="A760" s="2" t="s">
        <v>874</v>
      </c>
      <c r="B760" s="3">
        <v>45708</v>
      </c>
      <c r="C760" s="2" t="s">
        <v>840</v>
      </c>
      <c r="D760" s="2" t="s">
        <v>14</v>
      </c>
      <c r="E760" s="2" t="s">
        <v>29</v>
      </c>
      <c r="F760" s="2" t="s">
        <v>80</v>
      </c>
      <c r="G760" s="2" t="s">
        <v>81</v>
      </c>
      <c r="H760" s="2" t="s">
        <v>37</v>
      </c>
      <c r="I760" s="12">
        <v>3775.58</v>
      </c>
      <c r="J760" s="4">
        <v>3000</v>
      </c>
      <c r="K760" s="2" t="s">
        <v>26</v>
      </c>
      <c r="L760" s="2" t="s">
        <v>20</v>
      </c>
      <c r="M760" s="17">
        <f t="shared" si="33"/>
        <v>775.57999999999993</v>
      </c>
      <c r="N760" s="15">
        <f t="shared" si="34"/>
        <v>-3775.58</v>
      </c>
      <c r="O760" t="str">
        <f t="shared" si="35"/>
        <v>Yes</v>
      </c>
    </row>
    <row r="761" spans="1:15" x14ac:dyDescent="0.3">
      <c r="A761" s="5" t="s">
        <v>875</v>
      </c>
      <c r="B761" s="6">
        <v>45708</v>
      </c>
      <c r="C761" s="5" t="s">
        <v>840</v>
      </c>
      <c r="D761" s="5" t="s">
        <v>14</v>
      </c>
      <c r="E761" s="5" t="s">
        <v>112</v>
      </c>
      <c r="F761" s="5" t="s">
        <v>193</v>
      </c>
      <c r="G761" s="5" t="s">
        <v>194</v>
      </c>
      <c r="H761" s="5" t="s">
        <v>37</v>
      </c>
      <c r="I761" s="14">
        <v>10065.19</v>
      </c>
      <c r="J761" s="7">
        <v>8000</v>
      </c>
      <c r="K761" s="5" t="s">
        <v>47</v>
      </c>
      <c r="L761" s="5" t="s">
        <v>20</v>
      </c>
      <c r="M761" s="17">
        <f t="shared" si="33"/>
        <v>2065.1900000000005</v>
      </c>
      <c r="N761" s="15">
        <f t="shared" si="34"/>
        <v>-10065.19</v>
      </c>
      <c r="O761" t="str">
        <f t="shared" si="35"/>
        <v>Yes</v>
      </c>
    </row>
    <row r="762" spans="1:15" x14ac:dyDescent="0.3">
      <c r="A762" s="2" t="s">
        <v>876</v>
      </c>
      <c r="B762" s="3">
        <v>45708</v>
      </c>
      <c r="C762" s="2" t="s">
        <v>840</v>
      </c>
      <c r="D762" s="2" t="s">
        <v>14</v>
      </c>
      <c r="E762" s="2" t="s">
        <v>22</v>
      </c>
      <c r="F762" s="2" t="s">
        <v>154</v>
      </c>
      <c r="G762" s="2" t="s">
        <v>155</v>
      </c>
      <c r="H762" s="2" t="s">
        <v>18</v>
      </c>
      <c r="I762" s="12">
        <v>3208.73</v>
      </c>
      <c r="J762" s="4">
        <v>2500</v>
      </c>
      <c r="K762" s="2" t="s">
        <v>19</v>
      </c>
      <c r="L762" s="2" t="s">
        <v>27</v>
      </c>
      <c r="M762" s="17">
        <f t="shared" si="33"/>
        <v>708.73</v>
      </c>
      <c r="N762" s="15">
        <f t="shared" si="34"/>
        <v>-3208.73</v>
      </c>
      <c r="O762" t="str">
        <f t="shared" si="35"/>
        <v>Yes</v>
      </c>
    </row>
    <row r="763" spans="1:15" x14ac:dyDescent="0.3">
      <c r="A763" s="5" t="s">
        <v>877</v>
      </c>
      <c r="B763" s="6">
        <v>45709</v>
      </c>
      <c r="C763" s="5" t="s">
        <v>840</v>
      </c>
      <c r="D763" s="5" t="s">
        <v>14</v>
      </c>
      <c r="E763" s="5" t="s">
        <v>34</v>
      </c>
      <c r="F763" s="5" t="s">
        <v>94</v>
      </c>
      <c r="G763" s="5" t="s">
        <v>95</v>
      </c>
      <c r="H763" s="5" t="s">
        <v>32</v>
      </c>
      <c r="I763" s="14">
        <v>4924.75</v>
      </c>
      <c r="J763" s="7">
        <v>4000</v>
      </c>
      <c r="K763" s="5" t="s">
        <v>38</v>
      </c>
      <c r="L763" s="5" t="s">
        <v>27</v>
      </c>
      <c r="M763" s="17">
        <f t="shared" si="33"/>
        <v>924.75</v>
      </c>
      <c r="N763" s="15">
        <f t="shared" si="34"/>
        <v>-4924.75</v>
      </c>
      <c r="O763" t="str">
        <f t="shared" si="35"/>
        <v>Yes</v>
      </c>
    </row>
    <row r="764" spans="1:15" x14ac:dyDescent="0.3">
      <c r="A764" s="2" t="s">
        <v>878</v>
      </c>
      <c r="B764" s="3">
        <v>45709</v>
      </c>
      <c r="C764" s="2" t="s">
        <v>840</v>
      </c>
      <c r="D764" s="2" t="s">
        <v>14</v>
      </c>
      <c r="E764" s="2" t="s">
        <v>22</v>
      </c>
      <c r="F764" s="2" t="s">
        <v>23</v>
      </c>
      <c r="G764" s="2" t="s">
        <v>24</v>
      </c>
      <c r="H764" s="2" t="s">
        <v>32</v>
      </c>
      <c r="I764" s="12">
        <v>1660.23</v>
      </c>
      <c r="J764" s="4">
        <v>2500</v>
      </c>
      <c r="K764" s="2" t="s">
        <v>47</v>
      </c>
      <c r="L764" s="2" t="s">
        <v>27</v>
      </c>
      <c r="M764" s="17">
        <f t="shared" si="33"/>
        <v>-839.77</v>
      </c>
      <c r="N764" s="15">
        <f t="shared" si="34"/>
        <v>-1660.23</v>
      </c>
      <c r="O764" t="str">
        <f t="shared" si="35"/>
        <v>No</v>
      </c>
    </row>
    <row r="765" spans="1:15" x14ac:dyDescent="0.3">
      <c r="A765" s="5" t="s">
        <v>879</v>
      </c>
      <c r="B765" s="6">
        <v>45710</v>
      </c>
      <c r="C765" s="5" t="s">
        <v>840</v>
      </c>
      <c r="D765" s="5" t="s">
        <v>14</v>
      </c>
      <c r="E765" s="5" t="s">
        <v>22</v>
      </c>
      <c r="F765" s="5" t="s">
        <v>23</v>
      </c>
      <c r="G765" s="5" t="s">
        <v>24</v>
      </c>
      <c r="H765" s="5" t="s">
        <v>37</v>
      </c>
      <c r="I765" s="14">
        <v>1564.08</v>
      </c>
      <c r="J765" s="7">
        <v>2500</v>
      </c>
      <c r="K765" s="5" t="s">
        <v>47</v>
      </c>
      <c r="L765" s="5" t="s">
        <v>27</v>
      </c>
      <c r="M765" s="17">
        <f t="shared" si="33"/>
        <v>-935.92000000000007</v>
      </c>
      <c r="N765" s="15">
        <f t="shared" si="34"/>
        <v>-1564.08</v>
      </c>
      <c r="O765" t="str">
        <f t="shared" si="35"/>
        <v>No</v>
      </c>
    </row>
    <row r="766" spans="1:15" x14ac:dyDescent="0.3">
      <c r="A766" s="2" t="s">
        <v>880</v>
      </c>
      <c r="B766" s="3">
        <v>45711</v>
      </c>
      <c r="C766" s="2" t="s">
        <v>840</v>
      </c>
      <c r="D766" s="2" t="s">
        <v>14</v>
      </c>
      <c r="E766" s="2" t="s">
        <v>22</v>
      </c>
      <c r="F766" s="2" t="s">
        <v>66</v>
      </c>
      <c r="G766" s="2" t="s">
        <v>67</v>
      </c>
      <c r="H766" s="2" t="s">
        <v>37</v>
      </c>
      <c r="I766" s="12">
        <v>2365.61</v>
      </c>
      <c r="J766" s="4">
        <v>2500</v>
      </c>
      <c r="K766" s="2" t="s">
        <v>47</v>
      </c>
      <c r="L766" s="2" t="s">
        <v>27</v>
      </c>
      <c r="M766" s="17">
        <f t="shared" si="33"/>
        <v>-134.38999999999987</v>
      </c>
      <c r="N766" s="15">
        <f t="shared" si="34"/>
        <v>-2365.61</v>
      </c>
      <c r="O766" t="str">
        <f t="shared" si="35"/>
        <v>No</v>
      </c>
    </row>
    <row r="767" spans="1:15" x14ac:dyDescent="0.3">
      <c r="A767" s="5" t="s">
        <v>881</v>
      </c>
      <c r="B767" s="6">
        <v>45712</v>
      </c>
      <c r="C767" s="5" t="s">
        <v>840</v>
      </c>
      <c r="D767" s="5" t="s">
        <v>14</v>
      </c>
      <c r="E767" s="5" t="s">
        <v>22</v>
      </c>
      <c r="F767" s="5" t="s">
        <v>154</v>
      </c>
      <c r="G767" s="5" t="s">
        <v>155</v>
      </c>
      <c r="H767" s="5" t="s">
        <v>18</v>
      </c>
      <c r="I767" s="14">
        <v>2214.5100000000002</v>
      </c>
      <c r="J767" s="7">
        <v>2500</v>
      </c>
      <c r="K767" s="5" t="s">
        <v>26</v>
      </c>
      <c r="L767" s="5" t="s">
        <v>27</v>
      </c>
      <c r="M767" s="17">
        <f t="shared" si="33"/>
        <v>-285.48999999999978</v>
      </c>
      <c r="N767" s="15">
        <f t="shared" si="34"/>
        <v>-2214.5100000000002</v>
      </c>
      <c r="O767" t="str">
        <f t="shared" si="35"/>
        <v>No</v>
      </c>
    </row>
    <row r="768" spans="1:15" x14ac:dyDescent="0.3">
      <c r="A768" s="2" t="s">
        <v>882</v>
      </c>
      <c r="B768" s="3">
        <v>45713</v>
      </c>
      <c r="C768" s="2" t="s">
        <v>840</v>
      </c>
      <c r="D768" s="2" t="s">
        <v>14</v>
      </c>
      <c r="E768" s="2" t="s">
        <v>72</v>
      </c>
      <c r="F768" s="2" t="s">
        <v>132</v>
      </c>
      <c r="G768" s="2" t="s">
        <v>133</v>
      </c>
      <c r="H768" s="2" t="s">
        <v>32</v>
      </c>
      <c r="I768" s="12">
        <v>2349.0300000000002</v>
      </c>
      <c r="J768" s="4">
        <v>2000</v>
      </c>
      <c r="K768" s="2" t="s">
        <v>26</v>
      </c>
      <c r="L768" s="2" t="s">
        <v>27</v>
      </c>
      <c r="M768" s="17">
        <f t="shared" si="33"/>
        <v>349.0300000000002</v>
      </c>
      <c r="N768" s="15">
        <f t="shared" si="34"/>
        <v>-2349.0300000000002</v>
      </c>
      <c r="O768" t="str">
        <f t="shared" si="35"/>
        <v>Yes</v>
      </c>
    </row>
    <row r="769" spans="1:15" x14ac:dyDescent="0.3">
      <c r="A769" s="5" t="s">
        <v>883</v>
      </c>
      <c r="B769" s="6">
        <v>45714</v>
      </c>
      <c r="C769" s="5" t="s">
        <v>840</v>
      </c>
      <c r="D769" s="5" t="s">
        <v>54</v>
      </c>
      <c r="E769" s="5" t="s">
        <v>55</v>
      </c>
      <c r="F769" s="5" t="s">
        <v>56</v>
      </c>
      <c r="G769" s="5" t="s">
        <v>57</v>
      </c>
      <c r="H769" s="5" t="s">
        <v>37</v>
      </c>
      <c r="I769" s="14">
        <v>51277.19</v>
      </c>
      <c r="J769" s="7">
        <v>0</v>
      </c>
      <c r="K769" s="5" t="s">
        <v>19</v>
      </c>
      <c r="L769" s="5" t="s">
        <v>20</v>
      </c>
      <c r="M769" s="17" t="str">
        <f t="shared" si="33"/>
        <v>0</v>
      </c>
      <c r="N769" s="15">
        <f t="shared" si="34"/>
        <v>51277.19</v>
      </c>
      <c r="O769" t="str">
        <f t="shared" si="35"/>
        <v>Yes</v>
      </c>
    </row>
    <row r="770" spans="1:15" x14ac:dyDescent="0.3">
      <c r="A770" s="2" t="s">
        <v>884</v>
      </c>
      <c r="B770" s="3">
        <v>45716</v>
      </c>
      <c r="C770" s="2" t="s">
        <v>840</v>
      </c>
      <c r="D770" s="2" t="s">
        <v>14</v>
      </c>
      <c r="E770" s="2" t="s">
        <v>112</v>
      </c>
      <c r="F770" s="2" t="s">
        <v>113</v>
      </c>
      <c r="G770" s="2" t="s">
        <v>114</v>
      </c>
      <c r="H770" s="2" t="s">
        <v>37</v>
      </c>
      <c r="I770" s="12">
        <v>4900.2</v>
      </c>
      <c r="J770" s="4">
        <v>8000</v>
      </c>
      <c r="K770" s="2" t="s">
        <v>26</v>
      </c>
      <c r="L770" s="2" t="s">
        <v>20</v>
      </c>
      <c r="M770" s="17">
        <f t="shared" si="33"/>
        <v>-3099.8</v>
      </c>
      <c r="N770" s="15">
        <f t="shared" si="34"/>
        <v>-4900.2</v>
      </c>
      <c r="O770" t="str">
        <f t="shared" si="35"/>
        <v>No</v>
      </c>
    </row>
    <row r="771" spans="1:15" x14ac:dyDescent="0.3">
      <c r="A771" s="5" t="s">
        <v>885</v>
      </c>
      <c r="B771" s="6">
        <v>45717</v>
      </c>
      <c r="C771" s="5" t="s">
        <v>886</v>
      </c>
      <c r="D771" s="5" t="s">
        <v>14</v>
      </c>
      <c r="E771" s="5" t="s">
        <v>40</v>
      </c>
      <c r="F771" s="5" t="s">
        <v>97</v>
      </c>
      <c r="G771" s="5" t="s">
        <v>98</v>
      </c>
      <c r="H771" s="5" t="s">
        <v>37</v>
      </c>
      <c r="I771" s="14">
        <v>5038.32</v>
      </c>
      <c r="J771" s="7">
        <v>6000</v>
      </c>
      <c r="K771" s="5" t="s">
        <v>47</v>
      </c>
      <c r="L771" s="5" t="s">
        <v>27</v>
      </c>
      <c r="M771" s="17">
        <f t="shared" ref="M771:M834" si="36">IF(J771=0,"0",I771-J771)</f>
        <v>-961.68000000000029</v>
      </c>
      <c r="N771" s="15">
        <f t="shared" ref="N771:N834" si="37">IF(D771="Income",I771,-I771)</f>
        <v>-5038.32</v>
      </c>
      <c r="O771" t="str">
        <f t="shared" ref="O771:O834" si="38">IF(M771&gt;0,"Yes","No")</f>
        <v>No</v>
      </c>
    </row>
    <row r="772" spans="1:15" x14ac:dyDescent="0.3">
      <c r="A772" s="2" t="s">
        <v>887</v>
      </c>
      <c r="B772" s="3">
        <v>45717</v>
      </c>
      <c r="C772" s="2" t="s">
        <v>886</v>
      </c>
      <c r="D772" s="2" t="s">
        <v>14</v>
      </c>
      <c r="E772" s="2" t="s">
        <v>15</v>
      </c>
      <c r="F772" s="2" t="s">
        <v>16</v>
      </c>
      <c r="G772" s="2" t="s">
        <v>17</v>
      </c>
      <c r="H772" s="2" t="s">
        <v>37</v>
      </c>
      <c r="I772" s="12">
        <v>14355.12</v>
      </c>
      <c r="J772" s="4">
        <v>12000</v>
      </c>
      <c r="K772" s="2" t="s">
        <v>26</v>
      </c>
      <c r="L772" s="2" t="s">
        <v>20</v>
      </c>
      <c r="M772" s="17">
        <f t="shared" si="36"/>
        <v>2355.1200000000008</v>
      </c>
      <c r="N772" s="15">
        <f t="shared" si="37"/>
        <v>-14355.12</v>
      </c>
      <c r="O772" t="str">
        <f t="shared" si="38"/>
        <v>Yes</v>
      </c>
    </row>
    <row r="773" spans="1:15" x14ac:dyDescent="0.3">
      <c r="A773" s="5" t="s">
        <v>888</v>
      </c>
      <c r="B773" s="6">
        <v>45717</v>
      </c>
      <c r="C773" s="5" t="s">
        <v>886</v>
      </c>
      <c r="D773" s="5" t="s">
        <v>14</v>
      </c>
      <c r="E773" s="5" t="s">
        <v>15</v>
      </c>
      <c r="F773" s="5" t="s">
        <v>83</v>
      </c>
      <c r="G773" s="5" t="s">
        <v>84</v>
      </c>
      <c r="H773" s="5" t="s">
        <v>25</v>
      </c>
      <c r="I773" s="14">
        <v>8506.0400000000009</v>
      </c>
      <c r="J773" s="7">
        <v>12000</v>
      </c>
      <c r="K773" s="5" t="s">
        <v>38</v>
      </c>
      <c r="L773" s="5" t="s">
        <v>20</v>
      </c>
      <c r="M773" s="17">
        <f t="shared" si="36"/>
        <v>-3493.9599999999991</v>
      </c>
      <c r="N773" s="15">
        <f t="shared" si="37"/>
        <v>-8506.0400000000009</v>
      </c>
      <c r="O773" t="str">
        <f t="shared" si="38"/>
        <v>No</v>
      </c>
    </row>
    <row r="774" spans="1:15" x14ac:dyDescent="0.3">
      <c r="A774" s="2" t="s">
        <v>889</v>
      </c>
      <c r="B774" s="3">
        <v>45719</v>
      </c>
      <c r="C774" s="2" t="s">
        <v>886</v>
      </c>
      <c r="D774" s="2" t="s">
        <v>14</v>
      </c>
      <c r="E774" s="2" t="s">
        <v>44</v>
      </c>
      <c r="F774" s="2" t="s">
        <v>45</v>
      </c>
      <c r="G774" s="2" t="s">
        <v>46</v>
      </c>
      <c r="H774" s="2" t="s">
        <v>18</v>
      </c>
      <c r="I774" s="12">
        <v>13675.7</v>
      </c>
      <c r="J774" s="4">
        <v>15000</v>
      </c>
      <c r="K774" s="2" t="s">
        <v>38</v>
      </c>
      <c r="L774" s="2" t="s">
        <v>20</v>
      </c>
      <c r="M774" s="17">
        <f t="shared" si="36"/>
        <v>-1324.2999999999993</v>
      </c>
      <c r="N774" s="15">
        <f t="shared" si="37"/>
        <v>-13675.7</v>
      </c>
      <c r="O774" t="str">
        <f t="shared" si="38"/>
        <v>No</v>
      </c>
    </row>
    <row r="775" spans="1:15" x14ac:dyDescent="0.3">
      <c r="A775" s="5" t="s">
        <v>890</v>
      </c>
      <c r="B775" s="6">
        <v>45719</v>
      </c>
      <c r="C775" s="5" t="s">
        <v>886</v>
      </c>
      <c r="D775" s="5" t="s">
        <v>14</v>
      </c>
      <c r="E775" s="5" t="s">
        <v>44</v>
      </c>
      <c r="F775" s="5" t="s">
        <v>45</v>
      </c>
      <c r="G775" s="5" t="s">
        <v>46</v>
      </c>
      <c r="H775" s="5" t="s">
        <v>52</v>
      </c>
      <c r="I775" s="14">
        <v>10027.52</v>
      </c>
      <c r="J775" s="7">
        <v>15000</v>
      </c>
      <c r="K775" s="5" t="s">
        <v>26</v>
      </c>
      <c r="L775" s="5" t="s">
        <v>20</v>
      </c>
      <c r="M775" s="17">
        <f t="shared" si="36"/>
        <v>-4972.4799999999996</v>
      </c>
      <c r="N775" s="15">
        <f t="shared" si="37"/>
        <v>-10027.52</v>
      </c>
      <c r="O775" t="str">
        <f t="shared" si="38"/>
        <v>No</v>
      </c>
    </row>
    <row r="776" spans="1:15" x14ac:dyDescent="0.3">
      <c r="A776" s="2" t="s">
        <v>891</v>
      </c>
      <c r="B776" s="3">
        <v>45719</v>
      </c>
      <c r="C776" s="2" t="s">
        <v>886</v>
      </c>
      <c r="D776" s="2" t="s">
        <v>14</v>
      </c>
      <c r="E776" s="2" t="s">
        <v>40</v>
      </c>
      <c r="F776" s="2" t="s">
        <v>97</v>
      </c>
      <c r="G776" s="2" t="s">
        <v>98</v>
      </c>
      <c r="H776" s="2" t="s">
        <v>32</v>
      </c>
      <c r="I776" s="12">
        <v>4310.9399999999996</v>
      </c>
      <c r="J776" s="4">
        <v>6000</v>
      </c>
      <c r="K776" s="2" t="s">
        <v>26</v>
      </c>
      <c r="L776" s="2" t="s">
        <v>27</v>
      </c>
      <c r="M776" s="17">
        <f t="shared" si="36"/>
        <v>-1689.0600000000004</v>
      </c>
      <c r="N776" s="15">
        <f t="shared" si="37"/>
        <v>-4310.9399999999996</v>
      </c>
      <c r="O776" t="str">
        <f t="shared" si="38"/>
        <v>No</v>
      </c>
    </row>
    <row r="777" spans="1:15" x14ac:dyDescent="0.3">
      <c r="A777" s="5" t="s">
        <v>892</v>
      </c>
      <c r="B777" s="6">
        <v>45721</v>
      </c>
      <c r="C777" s="5" t="s">
        <v>886</v>
      </c>
      <c r="D777" s="5" t="s">
        <v>14</v>
      </c>
      <c r="E777" s="5" t="s">
        <v>15</v>
      </c>
      <c r="F777" s="5" t="s">
        <v>16</v>
      </c>
      <c r="G777" s="5" t="s">
        <v>17</v>
      </c>
      <c r="H777" s="5" t="s">
        <v>37</v>
      </c>
      <c r="I777" s="14">
        <v>14563.25</v>
      </c>
      <c r="J777" s="7">
        <v>12000</v>
      </c>
      <c r="K777" s="5" t="s">
        <v>19</v>
      </c>
      <c r="L777" s="5" t="s">
        <v>20</v>
      </c>
      <c r="M777" s="17">
        <f t="shared" si="36"/>
        <v>2563.25</v>
      </c>
      <c r="N777" s="15">
        <f t="shared" si="37"/>
        <v>-14563.25</v>
      </c>
      <c r="O777" t="str">
        <f t="shared" si="38"/>
        <v>Yes</v>
      </c>
    </row>
    <row r="778" spans="1:15" x14ac:dyDescent="0.3">
      <c r="A778" s="2" t="s">
        <v>893</v>
      </c>
      <c r="B778" s="3">
        <v>45721</v>
      </c>
      <c r="C778" s="2" t="s">
        <v>886</v>
      </c>
      <c r="D778" s="2" t="s">
        <v>14</v>
      </c>
      <c r="E778" s="2" t="s">
        <v>72</v>
      </c>
      <c r="F778" s="2" t="s">
        <v>132</v>
      </c>
      <c r="G778" s="2" t="s">
        <v>133</v>
      </c>
      <c r="H778" s="2" t="s">
        <v>37</v>
      </c>
      <c r="I778" s="12">
        <v>1948.43</v>
      </c>
      <c r="J778" s="4">
        <v>2000</v>
      </c>
      <c r="K778" s="2" t="s">
        <v>38</v>
      </c>
      <c r="L778" s="2" t="s">
        <v>27</v>
      </c>
      <c r="M778" s="17">
        <f t="shared" si="36"/>
        <v>-51.569999999999936</v>
      </c>
      <c r="N778" s="15">
        <f t="shared" si="37"/>
        <v>-1948.43</v>
      </c>
      <c r="O778" t="str">
        <f t="shared" si="38"/>
        <v>No</v>
      </c>
    </row>
    <row r="779" spans="1:15" x14ac:dyDescent="0.3">
      <c r="A779" s="5" t="s">
        <v>894</v>
      </c>
      <c r="B779" s="6">
        <v>45722</v>
      </c>
      <c r="C779" s="5" t="s">
        <v>886</v>
      </c>
      <c r="D779" s="5" t="s">
        <v>14</v>
      </c>
      <c r="E779" s="5" t="s">
        <v>72</v>
      </c>
      <c r="F779" s="5" t="s">
        <v>73</v>
      </c>
      <c r="G779" s="5" t="s">
        <v>74</v>
      </c>
      <c r="H779" s="5" t="s">
        <v>18</v>
      </c>
      <c r="I779" s="14">
        <v>1444.88</v>
      </c>
      <c r="J779" s="7">
        <v>2000</v>
      </c>
      <c r="K779" s="5" t="s">
        <v>19</v>
      </c>
      <c r="L779" s="5" t="s">
        <v>20</v>
      </c>
      <c r="M779" s="17">
        <f t="shared" si="36"/>
        <v>-555.11999999999989</v>
      </c>
      <c r="N779" s="15">
        <f t="shared" si="37"/>
        <v>-1444.88</v>
      </c>
      <c r="O779" t="str">
        <f t="shared" si="38"/>
        <v>No</v>
      </c>
    </row>
    <row r="780" spans="1:15" x14ac:dyDescent="0.3">
      <c r="A780" s="2" t="s">
        <v>895</v>
      </c>
      <c r="B780" s="3">
        <v>45723</v>
      </c>
      <c r="C780" s="2" t="s">
        <v>886</v>
      </c>
      <c r="D780" s="2" t="s">
        <v>14</v>
      </c>
      <c r="E780" s="2" t="s">
        <v>29</v>
      </c>
      <c r="F780" s="2" t="s">
        <v>109</v>
      </c>
      <c r="G780" s="2" t="s">
        <v>110</v>
      </c>
      <c r="H780" s="2" t="s">
        <v>18</v>
      </c>
      <c r="I780" s="12">
        <v>3058.12</v>
      </c>
      <c r="J780" s="4">
        <v>3000</v>
      </c>
      <c r="K780" s="2" t="s">
        <v>26</v>
      </c>
      <c r="L780" s="2" t="s">
        <v>20</v>
      </c>
      <c r="M780" s="17">
        <f t="shared" si="36"/>
        <v>58.119999999999891</v>
      </c>
      <c r="N780" s="15">
        <f t="shared" si="37"/>
        <v>-3058.12</v>
      </c>
      <c r="O780" t="str">
        <f t="shared" si="38"/>
        <v>Yes</v>
      </c>
    </row>
    <row r="781" spans="1:15" x14ac:dyDescent="0.3">
      <c r="A781" s="5" t="s">
        <v>896</v>
      </c>
      <c r="B781" s="6">
        <v>45723</v>
      </c>
      <c r="C781" s="5" t="s">
        <v>886</v>
      </c>
      <c r="D781" s="5" t="s">
        <v>14</v>
      </c>
      <c r="E781" s="5" t="s">
        <v>15</v>
      </c>
      <c r="F781" s="5" t="s">
        <v>83</v>
      </c>
      <c r="G781" s="5" t="s">
        <v>84</v>
      </c>
      <c r="H781" s="5" t="s">
        <v>37</v>
      </c>
      <c r="I781" s="14">
        <v>15208.28</v>
      </c>
      <c r="J781" s="7">
        <v>12000</v>
      </c>
      <c r="K781" s="5" t="s">
        <v>38</v>
      </c>
      <c r="L781" s="5" t="s">
        <v>20</v>
      </c>
      <c r="M781" s="17">
        <f t="shared" si="36"/>
        <v>3208.2800000000007</v>
      </c>
      <c r="N781" s="15">
        <f t="shared" si="37"/>
        <v>-15208.28</v>
      </c>
      <c r="O781" t="str">
        <f t="shared" si="38"/>
        <v>Yes</v>
      </c>
    </row>
    <row r="782" spans="1:15" x14ac:dyDescent="0.3">
      <c r="A782" s="2" t="s">
        <v>897</v>
      </c>
      <c r="B782" s="3">
        <v>45724</v>
      </c>
      <c r="C782" s="2" t="s">
        <v>886</v>
      </c>
      <c r="D782" s="2" t="s">
        <v>14</v>
      </c>
      <c r="E782" s="2" t="s">
        <v>34</v>
      </c>
      <c r="F782" s="2" t="s">
        <v>94</v>
      </c>
      <c r="G782" s="2" t="s">
        <v>95</v>
      </c>
      <c r="H782" s="2" t="s">
        <v>52</v>
      </c>
      <c r="I782" s="12">
        <v>4931.2299999999996</v>
      </c>
      <c r="J782" s="4">
        <v>4000</v>
      </c>
      <c r="K782" s="2" t="s">
        <v>19</v>
      </c>
      <c r="L782" s="2" t="s">
        <v>20</v>
      </c>
      <c r="M782" s="17">
        <f t="shared" si="36"/>
        <v>931.22999999999956</v>
      </c>
      <c r="N782" s="15">
        <f t="shared" si="37"/>
        <v>-4931.2299999999996</v>
      </c>
      <c r="O782" t="str">
        <f t="shared" si="38"/>
        <v>Yes</v>
      </c>
    </row>
    <row r="783" spans="1:15" x14ac:dyDescent="0.3">
      <c r="A783" s="5" t="s">
        <v>898</v>
      </c>
      <c r="B783" s="6">
        <v>45724</v>
      </c>
      <c r="C783" s="5" t="s">
        <v>886</v>
      </c>
      <c r="D783" s="5" t="s">
        <v>14</v>
      </c>
      <c r="E783" s="5" t="s">
        <v>34</v>
      </c>
      <c r="F783" s="5" t="s">
        <v>35</v>
      </c>
      <c r="G783" s="5" t="s">
        <v>36</v>
      </c>
      <c r="H783" s="5" t="s">
        <v>37</v>
      </c>
      <c r="I783" s="14">
        <v>3502.89</v>
      </c>
      <c r="J783" s="7">
        <v>4000</v>
      </c>
      <c r="K783" s="5" t="s">
        <v>19</v>
      </c>
      <c r="L783" s="5" t="s">
        <v>27</v>
      </c>
      <c r="M783" s="17">
        <f t="shared" si="36"/>
        <v>-497.11000000000013</v>
      </c>
      <c r="N783" s="15">
        <f t="shared" si="37"/>
        <v>-3502.89</v>
      </c>
      <c r="O783" t="str">
        <f t="shared" si="38"/>
        <v>No</v>
      </c>
    </row>
    <row r="784" spans="1:15" x14ac:dyDescent="0.3">
      <c r="A784" s="2" t="s">
        <v>899</v>
      </c>
      <c r="B784" s="3">
        <v>45724</v>
      </c>
      <c r="C784" s="2" t="s">
        <v>886</v>
      </c>
      <c r="D784" s="2" t="s">
        <v>14</v>
      </c>
      <c r="E784" s="2" t="s">
        <v>49</v>
      </c>
      <c r="F784" s="2" t="s">
        <v>77</v>
      </c>
      <c r="G784" s="2" t="s">
        <v>78</v>
      </c>
      <c r="H784" s="2" t="s">
        <v>52</v>
      </c>
      <c r="I784" s="12">
        <v>3632.49</v>
      </c>
      <c r="J784" s="4">
        <v>3500</v>
      </c>
      <c r="K784" s="2" t="s">
        <v>26</v>
      </c>
      <c r="L784" s="2" t="s">
        <v>27</v>
      </c>
      <c r="M784" s="17">
        <f t="shared" si="36"/>
        <v>132.48999999999978</v>
      </c>
      <c r="N784" s="15">
        <f t="shared" si="37"/>
        <v>-3632.49</v>
      </c>
      <c r="O784" t="str">
        <f t="shared" si="38"/>
        <v>Yes</v>
      </c>
    </row>
    <row r="785" spans="1:15" x14ac:dyDescent="0.3">
      <c r="A785" s="5" t="s">
        <v>900</v>
      </c>
      <c r="B785" s="6">
        <v>45724</v>
      </c>
      <c r="C785" s="5" t="s">
        <v>886</v>
      </c>
      <c r="D785" s="5" t="s">
        <v>14</v>
      </c>
      <c r="E785" s="5" t="s">
        <v>40</v>
      </c>
      <c r="F785" s="5" t="s">
        <v>41</v>
      </c>
      <c r="G785" s="5" t="s">
        <v>42</v>
      </c>
      <c r="H785" s="5" t="s">
        <v>18</v>
      </c>
      <c r="I785" s="14">
        <v>7786.99</v>
      </c>
      <c r="J785" s="7">
        <v>6000</v>
      </c>
      <c r="K785" s="5" t="s">
        <v>38</v>
      </c>
      <c r="L785" s="5" t="s">
        <v>27</v>
      </c>
      <c r="M785" s="17">
        <f t="shared" si="36"/>
        <v>1786.9899999999998</v>
      </c>
      <c r="N785" s="15">
        <f t="shared" si="37"/>
        <v>-7786.99</v>
      </c>
      <c r="O785" t="str">
        <f t="shared" si="38"/>
        <v>Yes</v>
      </c>
    </row>
    <row r="786" spans="1:15" x14ac:dyDescent="0.3">
      <c r="A786" s="2" t="s">
        <v>901</v>
      </c>
      <c r="B786" s="3">
        <v>45726</v>
      </c>
      <c r="C786" s="2" t="s">
        <v>886</v>
      </c>
      <c r="D786" s="2" t="s">
        <v>54</v>
      </c>
      <c r="E786" s="2" t="s">
        <v>55</v>
      </c>
      <c r="F786" s="2" t="s">
        <v>56</v>
      </c>
      <c r="G786" s="2" t="s">
        <v>57</v>
      </c>
      <c r="H786" s="2" t="s">
        <v>52</v>
      </c>
      <c r="I786" s="12">
        <v>51664.26</v>
      </c>
      <c r="J786" s="4">
        <v>0</v>
      </c>
      <c r="K786" s="2" t="s">
        <v>38</v>
      </c>
      <c r="L786" s="2" t="s">
        <v>20</v>
      </c>
      <c r="M786" s="17" t="str">
        <f t="shared" si="36"/>
        <v>0</v>
      </c>
      <c r="N786" s="15">
        <f t="shared" si="37"/>
        <v>51664.26</v>
      </c>
      <c r="O786" t="str">
        <f t="shared" si="38"/>
        <v>Yes</v>
      </c>
    </row>
    <row r="787" spans="1:15" x14ac:dyDescent="0.3">
      <c r="A787" s="5" t="s">
        <v>902</v>
      </c>
      <c r="B787" s="6">
        <v>45726</v>
      </c>
      <c r="C787" s="5" t="s">
        <v>886</v>
      </c>
      <c r="D787" s="5" t="s">
        <v>14</v>
      </c>
      <c r="E787" s="5" t="s">
        <v>112</v>
      </c>
      <c r="F787" s="5" t="s">
        <v>113</v>
      </c>
      <c r="G787" s="5" t="s">
        <v>114</v>
      </c>
      <c r="H787" s="5" t="s">
        <v>25</v>
      </c>
      <c r="I787" s="14">
        <v>6790.67</v>
      </c>
      <c r="J787" s="7">
        <v>8000</v>
      </c>
      <c r="K787" s="5" t="s">
        <v>26</v>
      </c>
      <c r="L787" s="5" t="s">
        <v>20</v>
      </c>
      <c r="M787" s="17">
        <f t="shared" si="36"/>
        <v>-1209.33</v>
      </c>
      <c r="N787" s="15">
        <f t="shared" si="37"/>
        <v>-6790.67</v>
      </c>
      <c r="O787" t="str">
        <f t="shared" si="38"/>
        <v>No</v>
      </c>
    </row>
    <row r="788" spans="1:15" x14ac:dyDescent="0.3">
      <c r="A788" s="2" t="s">
        <v>903</v>
      </c>
      <c r="B788" s="3">
        <v>45726</v>
      </c>
      <c r="C788" s="2" t="s">
        <v>886</v>
      </c>
      <c r="D788" s="2" t="s">
        <v>14</v>
      </c>
      <c r="E788" s="2" t="s">
        <v>44</v>
      </c>
      <c r="F788" s="2" t="s">
        <v>45</v>
      </c>
      <c r="G788" s="2" t="s">
        <v>46</v>
      </c>
      <c r="H788" s="2" t="s">
        <v>32</v>
      </c>
      <c r="I788" s="12">
        <v>13810.22</v>
      </c>
      <c r="J788" s="4">
        <v>15000</v>
      </c>
      <c r="K788" s="2" t="s">
        <v>38</v>
      </c>
      <c r="L788" s="2" t="s">
        <v>20</v>
      </c>
      <c r="M788" s="17">
        <f t="shared" si="36"/>
        <v>-1189.7800000000007</v>
      </c>
      <c r="N788" s="15">
        <f t="shared" si="37"/>
        <v>-13810.22</v>
      </c>
      <c r="O788" t="str">
        <f t="shared" si="38"/>
        <v>No</v>
      </c>
    </row>
    <row r="789" spans="1:15" x14ac:dyDescent="0.3">
      <c r="A789" s="5" t="s">
        <v>904</v>
      </c>
      <c r="B789" s="6">
        <v>45727</v>
      </c>
      <c r="C789" s="5" t="s">
        <v>886</v>
      </c>
      <c r="D789" s="5" t="s">
        <v>54</v>
      </c>
      <c r="E789" s="5" t="s">
        <v>55</v>
      </c>
      <c r="F789" s="5" t="s">
        <v>56</v>
      </c>
      <c r="G789" s="5" t="s">
        <v>57</v>
      </c>
      <c r="H789" s="5" t="s">
        <v>18</v>
      </c>
      <c r="I789" s="14">
        <v>49076.32</v>
      </c>
      <c r="J789" s="7">
        <v>0</v>
      </c>
      <c r="K789" s="5" t="s">
        <v>47</v>
      </c>
      <c r="L789" s="5" t="s">
        <v>20</v>
      </c>
      <c r="M789" s="17" t="str">
        <f t="shared" si="36"/>
        <v>0</v>
      </c>
      <c r="N789" s="15">
        <f t="shared" si="37"/>
        <v>49076.32</v>
      </c>
      <c r="O789" t="str">
        <f t="shared" si="38"/>
        <v>Yes</v>
      </c>
    </row>
    <row r="790" spans="1:15" x14ac:dyDescent="0.3">
      <c r="A790" s="2" t="s">
        <v>905</v>
      </c>
      <c r="B790" s="3">
        <v>45728</v>
      </c>
      <c r="C790" s="2" t="s">
        <v>886</v>
      </c>
      <c r="D790" s="2" t="s">
        <v>14</v>
      </c>
      <c r="E790" s="2" t="s">
        <v>112</v>
      </c>
      <c r="F790" s="2" t="s">
        <v>135</v>
      </c>
      <c r="G790" s="2" t="s">
        <v>136</v>
      </c>
      <c r="H790" s="2" t="s">
        <v>52</v>
      </c>
      <c r="I790" s="12">
        <v>7242.29</v>
      </c>
      <c r="J790" s="4">
        <v>8000</v>
      </c>
      <c r="K790" s="2" t="s">
        <v>19</v>
      </c>
      <c r="L790" s="2" t="s">
        <v>20</v>
      </c>
      <c r="M790" s="17">
        <f t="shared" si="36"/>
        <v>-757.71</v>
      </c>
      <c r="N790" s="15">
        <f t="shared" si="37"/>
        <v>-7242.29</v>
      </c>
      <c r="O790" t="str">
        <f t="shared" si="38"/>
        <v>No</v>
      </c>
    </row>
    <row r="791" spans="1:15" x14ac:dyDescent="0.3">
      <c r="A791" s="5" t="s">
        <v>906</v>
      </c>
      <c r="B791" s="6">
        <v>45728</v>
      </c>
      <c r="C791" s="5" t="s">
        <v>886</v>
      </c>
      <c r="D791" s="5" t="s">
        <v>14</v>
      </c>
      <c r="E791" s="5" t="s">
        <v>15</v>
      </c>
      <c r="F791" s="5" t="s">
        <v>83</v>
      </c>
      <c r="G791" s="5" t="s">
        <v>84</v>
      </c>
      <c r="H791" s="5" t="s">
        <v>37</v>
      </c>
      <c r="I791" s="14">
        <v>11720.56</v>
      </c>
      <c r="J791" s="7">
        <v>12000</v>
      </c>
      <c r="K791" s="5" t="s">
        <v>26</v>
      </c>
      <c r="L791" s="5" t="s">
        <v>20</v>
      </c>
      <c r="M791" s="17">
        <f t="shared" si="36"/>
        <v>-279.44000000000051</v>
      </c>
      <c r="N791" s="15">
        <f t="shared" si="37"/>
        <v>-11720.56</v>
      </c>
      <c r="O791" t="str">
        <f t="shared" si="38"/>
        <v>No</v>
      </c>
    </row>
    <row r="792" spans="1:15" x14ac:dyDescent="0.3">
      <c r="A792" s="2" t="s">
        <v>907</v>
      </c>
      <c r="B792" s="3">
        <v>45728</v>
      </c>
      <c r="C792" s="2" t="s">
        <v>886</v>
      </c>
      <c r="D792" s="2" t="s">
        <v>54</v>
      </c>
      <c r="E792" s="2" t="s">
        <v>55</v>
      </c>
      <c r="F792" s="2" t="s">
        <v>56</v>
      </c>
      <c r="G792" s="2" t="s">
        <v>57</v>
      </c>
      <c r="H792" s="2" t="s">
        <v>18</v>
      </c>
      <c r="I792" s="12">
        <v>53115.55</v>
      </c>
      <c r="J792" s="4">
        <v>0</v>
      </c>
      <c r="K792" s="2" t="s">
        <v>19</v>
      </c>
      <c r="L792" s="2" t="s">
        <v>20</v>
      </c>
      <c r="M792" s="17" t="str">
        <f t="shared" si="36"/>
        <v>0</v>
      </c>
      <c r="N792" s="15">
        <f t="shared" si="37"/>
        <v>53115.55</v>
      </c>
      <c r="O792" t="str">
        <f t="shared" si="38"/>
        <v>Yes</v>
      </c>
    </row>
    <row r="793" spans="1:15" x14ac:dyDescent="0.3">
      <c r="A793" s="5" t="s">
        <v>908</v>
      </c>
      <c r="B793" s="6">
        <v>45730</v>
      </c>
      <c r="C793" s="5" t="s">
        <v>886</v>
      </c>
      <c r="D793" s="5" t="s">
        <v>54</v>
      </c>
      <c r="E793" s="5" t="s">
        <v>55</v>
      </c>
      <c r="F793" s="5" t="s">
        <v>56</v>
      </c>
      <c r="G793" s="5" t="s">
        <v>57</v>
      </c>
      <c r="H793" s="5" t="s">
        <v>18</v>
      </c>
      <c r="I793" s="14">
        <v>45420.959999999999</v>
      </c>
      <c r="J793" s="7">
        <v>0</v>
      </c>
      <c r="K793" s="5" t="s">
        <v>26</v>
      </c>
      <c r="L793" s="5" t="s">
        <v>20</v>
      </c>
      <c r="M793" s="17" t="str">
        <f t="shared" si="36"/>
        <v>0</v>
      </c>
      <c r="N793" s="15">
        <f t="shared" si="37"/>
        <v>45420.959999999999</v>
      </c>
      <c r="O793" t="str">
        <f t="shared" si="38"/>
        <v>Yes</v>
      </c>
    </row>
    <row r="794" spans="1:15" x14ac:dyDescent="0.3">
      <c r="A794" s="2" t="s">
        <v>909</v>
      </c>
      <c r="B794" s="3">
        <v>45731</v>
      </c>
      <c r="C794" s="2" t="s">
        <v>886</v>
      </c>
      <c r="D794" s="2" t="s">
        <v>54</v>
      </c>
      <c r="E794" s="2" t="s">
        <v>55</v>
      </c>
      <c r="F794" s="2" t="s">
        <v>56</v>
      </c>
      <c r="G794" s="2" t="s">
        <v>57</v>
      </c>
      <c r="H794" s="2" t="s">
        <v>18</v>
      </c>
      <c r="I794" s="12">
        <v>53736.11</v>
      </c>
      <c r="J794" s="4">
        <v>0</v>
      </c>
      <c r="K794" s="2" t="s">
        <v>19</v>
      </c>
      <c r="L794" s="2" t="s">
        <v>20</v>
      </c>
      <c r="M794" s="17" t="str">
        <f t="shared" si="36"/>
        <v>0</v>
      </c>
      <c r="N794" s="15">
        <f t="shared" si="37"/>
        <v>53736.11</v>
      </c>
      <c r="O794" t="str">
        <f t="shared" si="38"/>
        <v>Yes</v>
      </c>
    </row>
    <row r="795" spans="1:15" x14ac:dyDescent="0.3">
      <c r="A795" s="5" t="s">
        <v>910</v>
      </c>
      <c r="B795" s="6">
        <v>45731</v>
      </c>
      <c r="C795" s="5" t="s">
        <v>886</v>
      </c>
      <c r="D795" s="5" t="s">
        <v>54</v>
      </c>
      <c r="E795" s="5" t="s">
        <v>55</v>
      </c>
      <c r="F795" s="5" t="s">
        <v>56</v>
      </c>
      <c r="G795" s="5" t="s">
        <v>57</v>
      </c>
      <c r="H795" s="5" t="s">
        <v>37</v>
      </c>
      <c r="I795" s="14">
        <v>44082.94</v>
      </c>
      <c r="J795" s="7">
        <v>0</v>
      </c>
      <c r="K795" s="5" t="s">
        <v>38</v>
      </c>
      <c r="L795" s="5" t="s">
        <v>20</v>
      </c>
      <c r="M795" s="17" t="str">
        <f t="shared" si="36"/>
        <v>0</v>
      </c>
      <c r="N795" s="15">
        <f t="shared" si="37"/>
        <v>44082.94</v>
      </c>
      <c r="O795" t="str">
        <f t="shared" si="38"/>
        <v>Yes</v>
      </c>
    </row>
    <row r="796" spans="1:15" x14ac:dyDescent="0.3">
      <c r="A796" s="2" t="s">
        <v>911</v>
      </c>
      <c r="B796" s="3">
        <v>45731</v>
      </c>
      <c r="C796" s="2" t="s">
        <v>886</v>
      </c>
      <c r="D796" s="2" t="s">
        <v>14</v>
      </c>
      <c r="E796" s="2" t="s">
        <v>40</v>
      </c>
      <c r="F796" s="2" t="s">
        <v>97</v>
      </c>
      <c r="G796" s="2" t="s">
        <v>98</v>
      </c>
      <c r="H796" s="2" t="s">
        <v>52</v>
      </c>
      <c r="I796" s="12">
        <v>3822.78</v>
      </c>
      <c r="J796" s="4">
        <v>6000</v>
      </c>
      <c r="K796" s="2" t="s">
        <v>38</v>
      </c>
      <c r="L796" s="2" t="s">
        <v>27</v>
      </c>
      <c r="M796" s="17">
        <f t="shared" si="36"/>
        <v>-2177.2199999999998</v>
      </c>
      <c r="N796" s="15">
        <f t="shared" si="37"/>
        <v>-3822.78</v>
      </c>
      <c r="O796" t="str">
        <f t="shared" si="38"/>
        <v>No</v>
      </c>
    </row>
    <row r="797" spans="1:15" x14ac:dyDescent="0.3">
      <c r="A797" s="5" t="s">
        <v>912</v>
      </c>
      <c r="B797" s="6">
        <v>45732</v>
      </c>
      <c r="C797" s="5" t="s">
        <v>886</v>
      </c>
      <c r="D797" s="5" t="s">
        <v>54</v>
      </c>
      <c r="E797" s="5" t="s">
        <v>55</v>
      </c>
      <c r="F797" s="5" t="s">
        <v>56</v>
      </c>
      <c r="G797" s="5" t="s">
        <v>57</v>
      </c>
      <c r="H797" s="5" t="s">
        <v>37</v>
      </c>
      <c r="I797" s="14">
        <v>43228.12</v>
      </c>
      <c r="J797" s="7">
        <v>0</v>
      </c>
      <c r="K797" s="5" t="s">
        <v>47</v>
      </c>
      <c r="L797" s="5" t="s">
        <v>20</v>
      </c>
      <c r="M797" s="17" t="str">
        <f t="shared" si="36"/>
        <v>0</v>
      </c>
      <c r="N797" s="15">
        <f t="shared" si="37"/>
        <v>43228.12</v>
      </c>
      <c r="O797" t="str">
        <f t="shared" si="38"/>
        <v>Yes</v>
      </c>
    </row>
    <row r="798" spans="1:15" x14ac:dyDescent="0.3">
      <c r="A798" s="2" t="s">
        <v>913</v>
      </c>
      <c r="B798" s="3">
        <v>45732</v>
      </c>
      <c r="C798" s="2" t="s">
        <v>886</v>
      </c>
      <c r="D798" s="2" t="s">
        <v>14</v>
      </c>
      <c r="E798" s="2" t="s">
        <v>44</v>
      </c>
      <c r="F798" s="2" t="s">
        <v>45</v>
      </c>
      <c r="G798" s="2" t="s">
        <v>46</v>
      </c>
      <c r="H798" s="2" t="s">
        <v>52</v>
      </c>
      <c r="I798" s="12">
        <v>11114.49</v>
      </c>
      <c r="J798" s="4">
        <v>15000</v>
      </c>
      <c r="K798" s="2" t="s">
        <v>38</v>
      </c>
      <c r="L798" s="2" t="s">
        <v>20</v>
      </c>
      <c r="M798" s="17">
        <f t="shared" si="36"/>
        <v>-3885.51</v>
      </c>
      <c r="N798" s="15">
        <f t="shared" si="37"/>
        <v>-11114.49</v>
      </c>
      <c r="O798" t="str">
        <f t="shared" si="38"/>
        <v>No</v>
      </c>
    </row>
    <row r="799" spans="1:15" x14ac:dyDescent="0.3">
      <c r="A799" s="5" t="s">
        <v>914</v>
      </c>
      <c r="B799" s="6">
        <v>45732</v>
      </c>
      <c r="C799" s="5" t="s">
        <v>886</v>
      </c>
      <c r="D799" s="5" t="s">
        <v>54</v>
      </c>
      <c r="E799" s="5" t="s">
        <v>55</v>
      </c>
      <c r="F799" s="5" t="s">
        <v>56</v>
      </c>
      <c r="G799" s="5" t="s">
        <v>57</v>
      </c>
      <c r="H799" s="5" t="s">
        <v>37</v>
      </c>
      <c r="I799" s="14">
        <v>49803.25</v>
      </c>
      <c r="J799" s="7">
        <v>0</v>
      </c>
      <c r="K799" s="5" t="s">
        <v>38</v>
      </c>
      <c r="L799" s="5" t="s">
        <v>20</v>
      </c>
      <c r="M799" s="17" t="str">
        <f t="shared" si="36"/>
        <v>0</v>
      </c>
      <c r="N799" s="15">
        <f t="shared" si="37"/>
        <v>49803.25</v>
      </c>
      <c r="O799" t="str">
        <f t="shared" si="38"/>
        <v>Yes</v>
      </c>
    </row>
    <row r="800" spans="1:15" x14ac:dyDescent="0.3">
      <c r="A800" s="2" t="s">
        <v>915</v>
      </c>
      <c r="B800" s="3">
        <v>45734</v>
      </c>
      <c r="C800" s="2" t="s">
        <v>886</v>
      </c>
      <c r="D800" s="2" t="s">
        <v>54</v>
      </c>
      <c r="E800" s="2" t="s">
        <v>55</v>
      </c>
      <c r="F800" s="2" t="s">
        <v>56</v>
      </c>
      <c r="G800" s="2" t="s">
        <v>57</v>
      </c>
      <c r="H800" s="2" t="s">
        <v>25</v>
      </c>
      <c r="I800" s="12">
        <v>50458.42</v>
      </c>
      <c r="J800" s="4">
        <v>0</v>
      </c>
      <c r="K800" s="2" t="s">
        <v>38</v>
      </c>
      <c r="L800" s="2" t="s">
        <v>20</v>
      </c>
      <c r="M800" s="17" t="str">
        <f t="shared" si="36"/>
        <v>0</v>
      </c>
      <c r="N800" s="15">
        <f t="shared" si="37"/>
        <v>50458.42</v>
      </c>
      <c r="O800" t="str">
        <f t="shared" si="38"/>
        <v>Yes</v>
      </c>
    </row>
    <row r="801" spans="1:15" x14ac:dyDescent="0.3">
      <c r="A801" s="5" t="s">
        <v>916</v>
      </c>
      <c r="B801" s="6">
        <v>45734</v>
      </c>
      <c r="C801" s="5" t="s">
        <v>886</v>
      </c>
      <c r="D801" s="5" t="s">
        <v>14</v>
      </c>
      <c r="E801" s="5" t="s">
        <v>15</v>
      </c>
      <c r="F801" s="5" t="s">
        <v>60</v>
      </c>
      <c r="G801" s="5" t="s">
        <v>61</v>
      </c>
      <c r="H801" s="5" t="s">
        <v>37</v>
      </c>
      <c r="I801" s="14">
        <v>8358.7099999999991</v>
      </c>
      <c r="J801" s="7">
        <v>12000</v>
      </c>
      <c r="K801" s="5" t="s">
        <v>47</v>
      </c>
      <c r="L801" s="5" t="s">
        <v>20</v>
      </c>
      <c r="M801" s="17">
        <f t="shared" si="36"/>
        <v>-3641.2900000000009</v>
      </c>
      <c r="N801" s="15">
        <f t="shared" si="37"/>
        <v>-8358.7099999999991</v>
      </c>
      <c r="O801" t="str">
        <f t="shared" si="38"/>
        <v>No</v>
      </c>
    </row>
    <row r="802" spans="1:15" x14ac:dyDescent="0.3">
      <c r="A802" s="2" t="s">
        <v>917</v>
      </c>
      <c r="B802" s="3">
        <v>45735</v>
      </c>
      <c r="C802" s="2" t="s">
        <v>886</v>
      </c>
      <c r="D802" s="2" t="s">
        <v>14</v>
      </c>
      <c r="E802" s="2" t="s">
        <v>49</v>
      </c>
      <c r="F802" s="2" t="s">
        <v>180</v>
      </c>
      <c r="G802" s="2" t="s">
        <v>181</v>
      </c>
      <c r="H802" s="2" t="s">
        <v>37</v>
      </c>
      <c r="I802" s="12">
        <v>2091.86</v>
      </c>
      <c r="J802" s="4">
        <v>3500</v>
      </c>
      <c r="K802" s="2" t="s">
        <v>38</v>
      </c>
      <c r="L802" s="2" t="s">
        <v>27</v>
      </c>
      <c r="M802" s="17">
        <f t="shared" si="36"/>
        <v>-1408.1399999999999</v>
      </c>
      <c r="N802" s="15">
        <f t="shared" si="37"/>
        <v>-2091.86</v>
      </c>
      <c r="O802" t="str">
        <f t="shared" si="38"/>
        <v>No</v>
      </c>
    </row>
    <row r="803" spans="1:15" x14ac:dyDescent="0.3">
      <c r="A803" s="5" t="s">
        <v>918</v>
      </c>
      <c r="B803" s="6">
        <v>45735</v>
      </c>
      <c r="C803" s="5" t="s">
        <v>886</v>
      </c>
      <c r="D803" s="5" t="s">
        <v>54</v>
      </c>
      <c r="E803" s="5" t="s">
        <v>55</v>
      </c>
      <c r="F803" s="5" t="s">
        <v>56</v>
      </c>
      <c r="G803" s="5" t="s">
        <v>57</v>
      </c>
      <c r="H803" s="5" t="s">
        <v>37</v>
      </c>
      <c r="I803" s="14">
        <v>47878.13</v>
      </c>
      <c r="J803" s="7">
        <v>0</v>
      </c>
      <c r="K803" s="5" t="s">
        <v>47</v>
      </c>
      <c r="L803" s="5" t="s">
        <v>20</v>
      </c>
      <c r="M803" s="17" t="str">
        <f t="shared" si="36"/>
        <v>0</v>
      </c>
      <c r="N803" s="15">
        <f t="shared" si="37"/>
        <v>47878.13</v>
      </c>
      <c r="O803" t="str">
        <f t="shared" si="38"/>
        <v>Yes</v>
      </c>
    </row>
    <row r="804" spans="1:15" x14ac:dyDescent="0.3">
      <c r="A804" s="2" t="s">
        <v>919</v>
      </c>
      <c r="B804" s="3">
        <v>45737</v>
      </c>
      <c r="C804" s="2" t="s">
        <v>886</v>
      </c>
      <c r="D804" s="2" t="s">
        <v>14</v>
      </c>
      <c r="E804" s="2" t="s">
        <v>34</v>
      </c>
      <c r="F804" s="2" t="s">
        <v>94</v>
      </c>
      <c r="G804" s="2" t="s">
        <v>95</v>
      </c>
      <c r="H804" s="2" t="s">
        <v>18</v>
      </c>
      <c r="I804" s="12">
        <v>4923.83</v>
      </c>
      <c r="J804" s="4">
        <v>4000</v>
      </c>
      <c r="K804" s="2" t="s">
        <v>47</v>
      </c>
      <c r="L804" s="2" t="s">
        <v>27</v>
      </c>
      <c r="M804" s="17">
        <f t="shared" si="36"/>
        <v>923.82999999999993</v>
      </c>
      <c r="N804" s="15">
        <f t="shared" si="37"/>
        <v>-4923.83</v>
      </c>
      <c r="O804" t="str">
        <f t="shared" si="38"/>
        <v>Yes</v>
      </c>
    </row>
    <row r="805" spans="1:15" x14ac:dyDescent="0.3">
      <c r="A805" s="5" t="s">
        <v>920</v>
      </c>
      <c r="B805" s="6">
        <v>45738</v>
      </c>
      <c r="C805" s="5" t="s">
        <v>886</v>
      </c>
      <c r="D805" s="5" t="s">
        <v>14</v>
      </c>
      <c r="E805" s="5" t="s">
        <v>15</v>
      </c>
      <c r="F805" s="5" t="s">
        <v>16</v>
      </c>
      <c r="G805" s="5" t="s">
        <v>17</v>
      </c>
      <c r="H805" s="5" t="s">
        <v>18</v>
      </c>
      <c r="I805" s="14">
        <v>11154.8</v>
      </c>
      <c r="J805" s="7">
        <v>12000</v>
      </c>
      <c r="K805" s="5" t="s">
        <v>47</v>
      </c>
      <c r="L805" s="5" t="s">
        <v>20</v>
      </c>
      <c r="M805" s="17">
        <f t="shared" si="36"/>
        <v>-845.20000000000073</v>
      </c>
      <c r="N805" s="15">
        <f t="shared" si="37"/>
        <v>-11154.8</v>
      </c>
      <c r="O805" t="str">
        <f t="shared" si="38"/>
        <v>No</v>
      </c>
    </row>
    <row r="806" spans="1:15" x14ac:dyDescent="0.3">
      <c r="A806" s="2" t="s">
        <v>921</v>
      </c>
      <c r="B806" s="3">
        <v>45738</v>
      </c>
      <c r="C806" s="2" t="s">
        <v>886</v>
      </c>
      <c r="D806" s="2" t="s">
        <v>14</v>
      </c>
      <c r="E806" s="2" t="s">
        <v>104</v>
      </c>
      <c r="F806" s="2" t="s">
        <v>105</v>
      </c>
      <c r="G806" s="2" t="s">
        <v>106</v>
      </c>
      <c r="H806" s="2" t="s">
        <v>37</v>
      </c>
      <c r="I806" s="12">
        <v>2045.09</v>
      </c>
      <c r="J806" s="4">
        <v>2000</v>
      </c>
      <c r="K806" s="2" t="s">
        <v>19</v>
      </c>
      <c r="L806" s="2" t="s">
        <v>27</v>
      </c>
      <c r="M806" s="17">
        <f t="shared" si="36"/>
        <v>45.089999999999918</v>
      </c>
      <c r="N806" s="15">
        <f t="shared" si="37"/>
        <v>-2045.09</v>
      </c>
      <c r="O806" t="str">
        <f t="shared" si="38"/>
        <v>Yes</v>
      </c>
    </row>
    <row r="807" spans="1:15" x14ac:dyDescent="0.3">
      <c r="A807" s="5" t="s">
        <v>922</v>
      </c>
      <c r="B807" s="6">
        <v>45738</v>
      </c>
      <c r="C807" s="5" t="s">
        <v>886</v>
      </c>
      <c r="D807" s="5" t="s">
        <v>14</v>
      </c>
      <c r="E807" s="5" t="s">
        <v>44</v>
      </c>
      <c r="F807" s="5" t="s">
        <v>45</v>
      </c>
      <c r="G807" s="5" t="s">
        <v>46</v>
      </c>
      <c r="H807" s="5" t="s">
        <v>37</v>
      </c>
      <c r="I807" s="14">
        <v>15948.41</v>
      </c>
      <c r="J807" s="7">
        <v>15000</v>
      </c>
      <c r="K807" s="5" t="s">
        <v>19</v>
      </c>
      <c r="L807" s="5" t="s">
        <v>20</v>
      </c>
      <c r="M807" s="17">
        <f t="shared" si="36"/>
        <v>948.40999999999985</v>
      </c>
      <c r="N807" s="15">
        <f t="shared" si="37"/>
        <v>-15948.41</v>
      </c>
      <c r="O807" t="str">
        <f t="shared" si="38"/>
        <v>Yes</v>
      </c>
    </row>
    <row r="808" spans="1:15" x14ac:dyDescent="0.3">
      <c r="A808" s="2" t="s">
        <v>923</v>
      </c>
      <c r="B808" s="3">
        <v>45740</v>
      </c>
      <c r="C808" s="2" t="s">
        <v>886</v>
      </c>
      <c r="D808" s="2" t="s">
        <v>14</v>
      </c>
      <c r="E808" s="2" t="s">
        <v>44</v>
      </c>
      <c r="F808" s="2" t="s">
        <v>45</v>
      </c>
      <c r="G808" s="2" t="s">
        <v>46</v>
      </c>
      <c r="H808" s="2" t="s">
        <v>37</v>
      </c>
      <c r="I808" s="12">
        <v>12243.32</v>
      </c>
      <c r="J808" s="4">
        <v>15000</v>
      </c>
      <c r="K808" s="2" t="s">
        <v>38</v>
      </c>
      <c r="L808" s="2" t="s">
        <v>20</v>
      </c>
      <c r="M808" s="17">
        <f t="shared" si="36"/>
        <v>-2756.6800000000003</v>
      </c>
      <c r="N808" s="15">
        <f t="shared" si="37"/>
        <v>-12243.32</v>
      </c>
      <c r="O808" t="str">
        <f t="shared" si="38"/>
        <v>No</v>
      </c>
    </row>
    <row r="809" spans="1:15" x14ac:dyDescent="0.3">
      <c r="A809" s="5" t="s">
        <v>924</v>
      </c>
      <c r="B809" s="6">
        <v>45740</v>
      </c>
      <c r="C809" s="5" t="s">
        <v>886</v>
      </c>
      <c r="D809" s="5" t="s">
        <v>14</v>
      </c>
      <c r="E809" s="5" t="s">
        <v>15</v>
      </c>
      <c r="F809" s="5" t="s">
        <v>60</v>
      </c>
      <c r="G809" s="5" t="s">
        <v>61</v>
      </c>
      <c r="H809" s="5" t="s">
        <v>52</v>
      </c>
      <c r="I809" s="14">
        <v>12057.86</v>
      </c>
      <c r="J809" s="7">
        <v>12000</v>
      </c>
      <c r="K809" s="5" t="s">
        <v>47</v>
      </c>
      <c r="L809" s="5" t="s">
        <v>20</v>
      </c>
      <c r="M809" s="17">
        <f t="shared" si="36"/>
        <v>57.860000000000582</v>
      </c>
      <c r="N809" s="15">
        <f t="shared" si="37"/>
        <v>-12057.86</v>
      </c>
      <c r="O809" t="str">
        <f t="shared" si="38"/>
        <v>Yes</v>
      </c>
    </row>
    <row r="810" spans="1:15" x14ac:dyDescent="0.3">
      <c r="A810" s="2" t="s">
        <v>925</v>
      </c>
      <c r="B810" s="3">
        <v>45741</v>
      </c>
      <c r="C810" s="2" t="s">
        <v>886</v>
      </c>
      <c r="D810" s="2" t="s">
        <v>14</v>
      </c>
      <c r="E810" s="2" t="s">
        <v>29</v>
      </c>
      <c r="F810" s="2" t="s">
        <v>30</v>
      </c>
      <c r="G810" s="2" t="s">
        <v>31</v>
      </c>
      <c r="H810" s="2" t="s">
        <v>25</v>
      </c>
      <c r="I810" s="12">
        <v>2295.34</v>
      </c>
      <c r="J810" s="4">
        <v>3000</v>
      </c>
      <c r="K810" s="2" t="s">
        <v>26</v>
      </c>
      <c r="L810" s="2" t="s">
        <v>20</v>
      </c>
      <c r="M810" s="17">
        <f t="shared" si="36"/>
        <v>-704.65999999999985</v>
      </c>
      <c r="N810" s="15">
        <f t="shared" si="37"/>
        <v>-2295.34</v>
      </c>
      <c r="O810" t="str">
        <f t="shared" si="38"/>
        <v>No</v>
      </c>
    </row>
    <row r="811" spans="1:15" x14ac:dyDescent="0.3">
      <c r="A811" s="5" t="s">
        <v>926</v>
      </c>
      <c r="B811" s="6">
        <v>45741</v>
      </c>
      <c r="C811" s="5" t="s">
        <v>886</v>
      </c>
      <c r="D811" s="5" t="s">
        <v>14</v>
      </c>
      <c r="E811" s="5" t="s">
        <v>104</v>
      </c>
      <c r="F811" s="5" t="s">
        <v>163</v>
      </c>
      <c r="G811" s="5" t="s">
        <v>164</v>
      </c>
      <c r="H811" s="5" t="s">
        <v>18</v>
      </c>
      <c r="I811" s="14">
        <v>1742.51</v>
      </c>
      <c r="J811" s="7">
        <v>2000</v>
      </c>
      <c r="K811" s="5" t="s">
        <v>38</v>
      </c>
      <c r="L811" s="5" t="s">
        <v>27</v>
      </c>
      <c r="M811" s="17">
        <f t="shared" si="36"/>
        <v>-257.49</v>
      </c>
      <c r="N811" s="15">
        <f t="shared" si="37"/>
        <v>-1742.51</v>
      </c>
      <c r="O811" t="str">
        <f t="shared" si="38"/>
        <v>No</v>
      </c>
    </row>
    <row r="812" spans="1:15" x14ac:dyDescent="0.3">
      <c r="A812" s="2" t="s">
        <v>927</v>
      </c>
      <c r="B812" s="3">
        <v>45742</v>
      </c>
      <c r="C812" s="2" t="s">
        <v>886</v>
      </c>
      <c r="D812" s="2" t="s">
        <v>14</v>
      </c>
      <c r="E812" s="2" t="s">
        <v>40</v>
      </c>
      <c r="F812" s="2" t="s">
        <v>41</v>
      </c>
      <c r="G812" s="2" t="s">
        <v>42</v>
      </c>
      <c r="H812" s="2" t="s">
        <v>52</v>
      </c>
      <c r="I812" s="12">
        <v>3759.4</v>
      </c>
      <c r="J812" s="4">
        <v>6000</v>
      </c>
      <c r="K812" s="2" t="s">
        <v>47</v>
      </c>
      <c r="L812" s="2" t="s">
        <v>27</v>
      </c>
      <c r="M812" s="17">
        <f t="shared" si="36"/>
        <v>-2240.6</v>
      </c>
      <c r="N812" s="15">
        <f t="shared" si="37"/>
        <v>-3759.4</v>
      </c>
      <c r="O812" t="str">
        <f t="shared" si="38"/>
        <v>No</v>
      </c>
    </row>
    <row r="813" spans="1:15" x14ac:dyDescent="0.3">
      <c r="A813" s="5" t="s">
        <v>928</v>
      </c>
      <c r="B813" s="6">
        <v>45743</v>
      </c>
      <c r="C813" s="5" t="s">
        <v>886</v>
      </c>
      <c r="D813" s="5" t="s">
        <v>14</v>
      </c>
      <c r="E813" s="5" t="s">
        <v>104</v>
      </c>
      <c r="F813" s="5" t="s">
        <v>163</v>
      </c>
      <c r="G813" s="5" t="s">
        <v>164</v>
      </c>
      <c r="H813" s="5" t="s">
        <v>37</v>
      </c>
      <c r="I813" s="14">
        <v>1048.29</v>
      </c>
      <c r="J813" s="7">
        <v>2000</v>
      </c>
      <c r="K813" s="5" t="s">
        <v>19</v>
      </c>
      <c r="L813" s="5" t="s">
        <v>27</v>
      </c>
      <c r="M813" s="17">
        <f t="shared" si="36"/>
        <v>-951.71</v>
      </c>
      <c r="N813" s="15">
        <f t="shared" si="37"/>
        <v>-1048.29</v>
      </c>
      <c r="O813" t="str">
        <f t="shared" si="38"/>
        <v>No</v>
      </c>
    </row>
    <row r="814" spans="1:15" x14ac:dyDescent="0.3">
      <c r="A814" s="2" t="s">
        <v>929</v>
      </c>
      <c r="B814" s="3">
        <v>45743</v>
      </c>
      <c r="C814" s="2" t="s">
        <v>886</v>
      </c>
      <c r="D814" s="2" t="s">
        <v>14</v>
      </c>
      <c r="E814" s="2" t="s">
        <v>22</v>
      </c>
      <c r="F814" s="2" t="s">
        <v>66</v>
      </c>
      <c r="G814" s="2" t="s">
        <v>67</v>
      </c>
      <c r="H814" s="2" t="s">
        <v>52</v>
      </c>
      <c r="I814" s="12">
        <v>1910.32</v>
      </c>
      <c r="J814" s="4">
        <v>2500</v>
      </c>
      <c r="K814" s="2" t="s">
        <v>47</v>
      </c>
      <c r="L814" s="2" t="s">
        <v>27</v>
      </c>
      <c r="M814" s="17">
        <f t="shared" si="36"/>
        <v>-589.68000000000006</v>
      </c>
      <c r="N814" s="15">
        <f t="shared" si="37"/>
        <v>-1910.32</v>
      </c>
      <c r="O814" t="str">
        <f t="shared" si="38"/>
        <v>No</v>
      </c>
    </row>
    <row r="815" spans="1:15" x14ac:dyDescent="0.3">
      <c r="A815" s="5" t="s">
        <v>930</v>
      </c>
      <c r="B815" s="6">
        <v>45743</v>
      </c>
      <c r="C815" s="5" t="s">
        <v>886</v>
      </c>
      <c r="D815" s="5" t="s">
        <v>14</v>
      </c>
      <c r="E815" s="5" t="s">
        <v>104</v>
      </c>
      <c r="F815" s="5" t="s">
        <v>184</v>
      </c>
      <c r="G815" s="5" t="s">
        <v>185</v>
      </c>
      <c r="H815" s="5" t="s">
        <v>32</v>
      </c>
      <c r="I815" s="14">
        <v>2328.7600000000002</v>
      </c>
      <c r="J815" s="7">
        <v>2000</v>
      </c>
      <c r="K815" s="5" t="s">
        <v>47</v>
      </c>
      <c r="L815" s="5" t="s">
        <v>27</v>
      </c>
      <c r="M815" s="17">
        <f t="shared" si="36"/>
        <v>328.76000000000022</v>
      </c>
      <c r="N815" s="15">
        <f t="shared" si="37"/>
        <v>-2328.7600000000002</v>
      </c>
      <c r="O815" t="str">
        <f t="shared" si="38"/>
        <v>Yes</v>
      </c>
    </row>
    <row r="816" spans="1:15" x14ac:dyDescent="0.3">
      <c r="A816" s="2" t="s">
        <v>931</v>
      </c>
      <c r="B816" s="3">
        <v>45743</v>
      </c>
      <c r="C816" s="2" t="s">
        <v>886</v>
      </c>
      <c r="D816" s="2" t="s">
        <v>14</v>
      </c>
      <c r="E816" s="2" t="s">
        <v>34</v>
      </c>
      <c r="F816" s="2" t="s">
        <v>94</v>
      </c>
      <c r="G816" s="2" t="s">
        <v>95</v>
      </c>
      <c r="H816" s="2" t="s">
        <v>18</v>
      </c>
      <c r="I816" s="12">
        <v>4660.59</v>
      </c>
      <c r="J816" s="4">
        <v>4000</v>
      </c>
      <c r="K816" s="2" t="s">
        <v>19</v>
      </c>
      <c r="L816" s="2" t="s">
        <v>27</v>
      </c>
      <c r="M816" s="17">
        <f t="shared" si="36"/>
        <v>660.59000000000015</v>
      </c>
      <c r="N816" s="15">
        <f t="shared" si="37"/>
        <v>-4660.59</v>
      </c>
      <c r="O816" t="str">
        <f t="shared" si="38"/>
        <v>Yes</v>
      </c>
    </row>
    <row r="817" spans="1:15" x14ac:dyDescent="0.3">
      <c r="A817" s="5" t="s">
        <v>932</v>
      </c>
      <c r="B817" s="6">
        <v>45743</v>
      </c>
      <c r="C817" s="5" t="s">
        <v>886</v>
      </c>
      <c r="D817" s="5" t="s">
        <v>14</v>
      </c>
      <c r="E817" s="5" t="s">
        <v>112</v>
      </c>
      <c r="F817" s="5" t="s">
        <v>135</v>
      </c>
      <c r="G817" s="5" t="s">
        <v>136</v>
      </c>
      <c r="H817" s="5" t="s">
        <v>37</v>
      </c>
      <c r="I817" s="14">
        <v>9070.5</v>
      </c>
      <c r="J817" s="7">
        <v>8000</v>
      </c>
      <c r="K817" s="5" t="s">
        <v>38</v>
      </c>
      <c r="L817" s="5" t="s">
        <v>20</v>
      </c>
      <c r="M817" s="17">
        <f t="shared" si="36"/>
        <v>1070.5</v>
      </c>
      <c r="N817" s="15">
        <f t="shared" si="37"/>
        <v>-9070.5</v>
      </c>
      <c r="O817" t="str">
        <f t="shared" si="38"/>
        <v>Yes</v>
      </c>
    </row>
    <row r="818" spans="1:15" x14ac:dyDescent="0.3">
      <c r="A818" s="2" t="s">
        <v>933</v>
      </c>
      <c r="B818" s="3">
        <v>45744</v>
      </c>
      <c r="C818" s="2" t="s">
        <v>886</v>
      </c>
      <c r="D818" s="2" t="s">
        <v>14</v>
      </c>
      <c r="E818" s="2" t="s">
        <v>49</v>
      </c>
      <c r="F818" s="2" t="s">
        <v>180</v>
      </c>
      <c r="G818" s="2" t="s">
        <v>181</v>
      </c>
      <c r="H818" s="2" t="s">
        <v>18</v>
      </c>
      <c r="I818" s="12">
        <v>3050.38</v>
      </c>
      <c r="J818" s="4">
        <v>3500</v>
      </c>
      <c r="K818" s="2" t="s">
        <v>26</v>
      </c>
      <c r="L818" s="2" t="s">
        <v>27</v>
      </c>
      <c r="M818" s="17">
        <f t="shared" si="36"/>
        <v>-449.61999999999989</v>
      </c>
      <c r="N818" s="15">
        <f t="shared" si="37"/>
        <v>-3050.38</v>
      </c>
      <c r="O818" t="str">
        <f t="shared" si="38"/>
        <v>No</v>
      </c>
    </row>
    <row r="819" spans="1:15" x14ac:dyDescent="0.3">
      <c r="A819" s="5" t="s">
        <v>934</v>
      </c>
      <c r="B819" s="6">
        <v>45744</v>
      </c>
      <c r="C819" s="5" t="s">
        <v>886</v>
      </c>
      <c r="D819" s="5" t="s">
        <v>14</v>
      </c>
      <c r="E819" s="5" t="s">
        <v>104</v>
      </c>
      <c r="F819" s="5" t="s">
        <v>105</v>
      </c>
      <c r="G819" s="5" t="s">
        <v>106</v>
      </c>
      <c r="H819" s="5" t="s">
        <v>18</v>
      </c>
      <c r="I819" s="14">
        <v>1950.7</v>
      </c>
      <c r="J819" s="7">
        <v>2000</v>
      </c>
      <c r="K819" s="5" t="s">
        <v>47</v>
      </c>
      <c r="L819" s="5" t="s">
        <v>27</v>
      </c>
      <c r="M819" s="17">
        <f t="shared" si="36"/>
        <v>-49.299999999999955</v>
      </c>
      <c r="N819" s="15">
        <f t="shared" si="37"/>
        <v>-1950.7</v>
      </c>
      <c r="O819" t="str">
        <f t="shared" si="38"/>
        <v>No</v>
      </c>
    </row>
    <row r="820" spans="1:15" x14ac:dyDescent="0.3">
      <c r="A820" s="2" t="s">
        <v>935</v>
      </c>
      <c r="B820" s="3">
        <v>45745</v>
      </c>
      <c r="C820" s="2" t="s">
        <v>886</v>
      </c>
      <c r="D820" s="2" t="s">
        <v>14</v>
      </c>
      <c r="E820" s="2" t="s">
        <v>44</v>
      </c>
      <c r="F820" s="2" t="s">
        <v>45</v>
      </c>
      <c r="G820" s="2" t="s">
        <v>46</v>
      </c>
      <c r="H820" s="2" t="s">
        <v>37</v>
      </c>
      <c r="I820" s="12">
        <v>12162.65</v>
      </c>
      <c r="J820" s="4">
        <v>15000</v>
      </c>
      <c r="K820" s="2" t="s">
        <v>26</v>
      </c>
      <c r="L820" s="2" t="s">
        <v>20</v>
      </c>
      <c r="M820" s="17">
        <f t="shared" si="36"/>
        <v>-2837.3500000000004</v>
      </c>
      <c r="N820" s="15">
        <f t="shared" si="37"/>
        <v>-12162.65</v>
      </c>
      <c r="O820" t="str">
        <f t="shared" si="38"/>
        <v>No</v>
      </c>
    </row>
    <row r="821" spans="1:15" x14ac:dyDescent="0.3">
      <c r="A821" s="5" t="s">
        <v>936</v>
      </c>
      <c r="B821" s="6">
        <v>45745</v>
      </c>
      <c r="C821" s="5" t="s">
        <v>886</v>
      </c>
      <c r="D821" s="5" t="s">
        <v>14</v>
      </c>
      <c r="E821" s="5" t="s">
        <v>49</v>
      </c>
      <c r="F821" s="5" t="s">
        <v>77</v>
      </c>
      <c r="G821" s="5" t="s">
        <v>78</v>
      </c>
      <c r="H821" s="5" t="s">
        <v>52</v>
      </c>
      <c r="I821" s="14">
        <v>4404.04</v>
      </c>
      <c r="J821" s="7">
        <v>3500</v>
      </c>
      <c r="K821" s="5" t="s">
        <v>38</v>
      </c>
      <c r="L821" s="5" t="s">
        <v>27</v>
      </c>
      <c r="M821" s="17">
        <f t="shared" si="36"/>
        <v>904.04</v>
      </c>
      <c r="N821" s="15">
        <f t="shared" si="37"/>
        <v>-4404.04</v>
      </c>
      <c r="O821" t="str">
        <f t="shared" si="38"/>
        <v>Yes</v>
      </c>
    </row>
    <row r="822" spans="1:15" x14ac:dyDescent="0.3">
      <c r="A822" s="2" t="s">
        <v>937</v>
      </c>
      <c r="B822" s="3">
        <v>45746</v>
      </c>
      <c r="C822" s="2" t="s">
        <v>886</v>
      </c>
      <c r="D822" s="2" t="s">
        <v>14</v>
      </c>
      <c r="E822" s="2" t="s">
        <v>15</v>
      </c>
      <c r="F822" s="2" t="s">
        <v>83</v>
      </c>
      <c r="G822" s="2" t="s">
        <v>84</v>
      </c>
      <c r="H822" s="2" t="s">
        <v>32</v>
      </c>
      <c r="I822" s="12">
        <v>12301.64</v>
      </c>
      <c r="J822" s="4">
        <v>12000</v>
      </c>
      <c r="K822" s="2" t="s">
        <v>47</v>
      </c>
      <c r="L822" s="2" t="s">
        <v>20</v>
      </c>
      <c r="M822" s="17">
        <f t="shared" si="36"/>
        <v>301.63999999999942</v>
      </c>
      <c r="N822" s="15">
        <f t="shared" si="37"/>
        <v>-12301.64</v>
      </c>
      <c r="O822" t="str">
        <f t="shared" si="38"/>
        <v>Yes</v>
      </c>
    </row>
    <row r="823" spans="1:15" x14ac:dyDescent="0.3">
      <c r="A823" s="5" t="s">
        <v>938</v>
      </c>
      <c r="B823" s="6">
        <v>45747</v>
      </c>
      <c r="C823" s="5" t="s">
        <v>886</v>
      </c>
      <c r="D823" s="5" t="s">
        <v>14</v>
      </c>
      <c r="E823" s="5" t="s">
        <v>44</v>
      </c>
      <c r="F823" s="5" t="s">
        <v>45</v>
      </c>
      <c r="G823" s="5" t="s">
        <v>46</v>
      </c>
      <c r="H823" s="5" t="s">
        <v>52</v>
      </c>
      <c r="I823" s="14">
        <v>15032.66</v>
      </c>
      <c r="J823" s="7">
        <v>15000</v>
      </c>
      <c r="K823" s="5" t="s">
        <v>26</v>
      </c>
      <c r="L823" s="5" t="s">
        <v>20</v>
      </c>
      <c r="M823" s="17">
        <f t="shared" si="36"/>
        <v>32.659999999999854</v>
      </c>
      <c r="N823" s="15">
        <f t="shared" si="37"/>
        <v>-15032.66</v>
      </c>
      <c r="O823" t="str">
        <f t="shared" si="38"/>
        <v>Yes</v>
      </c>
    </row>
    <row r="824" spans="1:15" x14ac:dyDescent="0.3">
      <c r="A824" s="2" t="s">
        <v>939</v>
      </c>
      <c r="B824" s="3">
        <v>45747</v>
      </c>
      <c r="C824" s="2" t="s">
        <v>886</v>
      </c>
      <c r="D824" s="2" t="s">
        <v>54</v>
      </c>
      <c r="E824" s="2" t="s">
        <v>55</v>
      </c>
      <c r="F824" s="2" t="s">
        <v>56</v>
      </c>
      <c r="G824" s="2" t="s">
        <v>57</v>
      </c>
      <c r="H824" s="2" t="s">
        <v>32</v>
      </c>
      <c r="I824" s="12">
        <v>51091.27</v>
      </c>
      <c r="J824" s="4">
        <v>0</v>
      </c>
      <c r="K824" s="2" t="s">
        <v>26</v>
      </c>
      <c r="L824" s="2" t="s">
        <v>20</v>
      </c>
      <c r="M824" s="17" t="str">
        <f t="shared" si="36"/>
        <v>0</v>
      </c>
      <c r="N824" s="15">
        <f t="shared" si="37"/>
        <v>51091.27</v>
      </c>
      <c r="O824" t="str">
        <f t="shared" si="38"/>
        <v>Yes</v>
      </c>
    </row>
    <row r="825" spans="1:15" x14ac:dyDescent="0.3">
      <c r="A825" s="5" t="s">
        <v>940</v>
      </c>
      <c r="B825" s="6">
        <v>45748</v>
      </c>
      <c r="C825" s="5" t="s">
        <v>941</v>
      </c>
      <c r="D825" s="5" t="s">
        <v>54</v>
      </c>
      <c r="E825" s="5" t="s">
        <v>209</v>
      </c>
      <c r="F825" s="5" t="s">
        <v>314</v>
      </c>
      <c r="G825" s="5" t="s">
        <v>315</v>
      </c>
      <c r="H825" s="5" t="s">
        <v>18</v>
      </c>
      <c r="I825" s="14">
        <v>4762.47</v>
      </c>
      <c r="J825" s="7">
        <v>0</v>
      </c>
      <c r="K825" s="5" t="s">
        <v>38</v>
      </c>
      <c r="L825" s="5" t="s">
        <v>27</v>
      </c>
      <c r="M825" s="17" t="str">
        <f t="shared" si="36"/>
        <v>0</v>
      </c>
      <c r="N825" s="15">
        <f t="shared" si="37"/>
        <v>4762.47</v>
      </c>
      <c r="O825" t="str">
        <f t="shared" si="38"/>
        <v>Yes</v>
      </c>
    </row>
    <row r="826" spans="1:15" x14ac:dyDescent="0.3">
      <c r="A826" s="2" t="s">
        <v>942</v>
      </c>
      <c r="B826" s="3">
        <v>45748</v>
      </c>
      <c r="C826" s="2" t="s">
        <v>941</v>
      </c>
      <c r="D826" s="2" t="s">
        <v>14</v>
      </c>
      <c r="E826" s="2" t="s">
        <v>104</v>
      </c>
      <c r="F826" s="2" t="s">
        <v>163</v>
      </c>
      <c r="G826" s="2" t="s">
        <v>164</v>
      </c>
      <c r="H826" s="2" t="s">
        <v>18</v>
      </c>
      <c r="I826" s="12">
        <v>1251.49</v>
      </c>
      <c r="J826" s="4">
        <v>2000</v>
      </c>
      <c r="K826" s="2" t="s">
        <v>47</v>
      </c>
      <c r="L826" s="2" t="s">
        <v>27</v>
      </c>
      <c r="M826" s="17">
        <f t="shared" si="36"/>
        <v>-748.51</v>
      </c>
      <c r="N826" s="15">
        <f t="shared" si="37"/>
        <v>-1251.49</v>
      </c>
      <c r="O826" t="str">
        <f t="shared" si="38"/>
        <v>No</v>
      </c>
    </row>
    <row r="827" spans="1:15" x14ac:dyDescent="0.3">
      <c r="A827" s="5" t="s">
        <v>943</v>
      </c>
      <c r="B827" s="6">
        <v>45748</v>
      </c>
      <c r="C827" s="5" t="s">
        <v>941</v>
      </c>
      <c r="D827" s="5" t="s">
        <v>14</v>
      </c>
      <c r="E827" s="5" t="s">
        <v>40</v>
      </c>
      <c r="F827" s="5" t="s">
        <v>97</v>
      </c>
      <c r="G827" s="5" t="s">
        <v>98</v>
      </c>
      <c r="H827" s="5" t="s">
        <v>37</v>
      </c>
      <c r="I827" s="14">
        <v>7118.55</v>
      </c>
      <c r="J827" s="7">
        <v>6000</v>
      </c>
      <c r="K827" s="5" t="s">
        <v>26</v>
      </c>
      <c r="L827" s="5" t="s">
        <v>27</v>
      </c>
      <c r="M827" s="17">
        <f t="shared" si="36"/>
        <v>1118.5500000000002</v>
      </c>
      <c r="N827" s="15">
        <f t="shared" si="37"/>
        <v>-7118.55</v>
      </c>
      <c r="O827" t="str">
        <f t="shared" si="38"/>
        <v>Yes</v>
      </c>
    </row>
    <row r="828" spans="1:15" x14ac:dyDescent="0.3">
      <c r="A828" s="2" t="s">
        <v>944</v>
      </c>
      <c r="B828" s="3">
        <v>45749</v>
      </c>
      <c r="C828" s="2" t="s">
        <v>941</v>
      </c>
      <c r="D828" s="2" t="s">
        <v>54</v>
      </c>
      <c r="E828" s="2" t="s">
        <v>87</v>
      </c>
      <c r="F828" s="2" t="s">
        <v>176</v>
      </c>
      <c r="G828" s="2" t="s">
        <v>177</v>
      </c>
      <c r="H828" s="2" t="s">
        <v>18</v>
      </c>
      <c r="I828" s="12">
        <v>7570.2</v>
      </c>
      <c r="J828" s="4">
        <v>0</v>
      </c>
      <c r="K828" s="2" t="s">
        <v>19</v>
      </c>
      <c r="L828" s="2" t="s">
        <v>27</v>
      </c>
      <c r="M828" s="17" t="str">
        <f t="shared" si="36"/>
        <v>0</v>
      </c>
      <c r="N828" s="15">
        <f t="shared" si="37"/>
        <v>7570.2</v>
      </c>
      <c r="O828" t="str">
        <f t="shared" si="38"/>
        <v>Yes</v>
      </c>
    </row>
    <row r="829" spans="1:15" x14ac:dyDescent="0.3">
      <c r="A829" s="5" t="s">
        <v>945</v>
      </c>
      <c r="B829" s="6">
        <v>45749</v>
      </c>
      <c r="C829" s="5" t="s">
        <v>941</v>
      </c>
      <c r="D829" s="5" t="s">
        <v>54</v>
      </c>
      <c r="E829" s="5" t="s">
        <v>55</v>
      </c>
      <c r="F829" s="5" t="s">
        <v>56</v>
      </c>
      <c r="G829" s="5" t="s">
        <v>57</v>
      </c>
      <c r="H829" s="5" t="s">
        <v>37</v>
      </c>
      <c r="I829" s="14">
        <v>54590.93</v>
      </c>
      <c r="J829" s="7">
        <v>0</v>
      </c>
      <c r="K829" s="5" t="s">
        <v>38</v>
      </c>
      <c r="L829" s="5" t="s">
        <v>20</v>
      </c>
      <c r="M829" s="17" t="str">
        <f t="shared" si="36"/>
        <v>0</v>
      </c>
      <c r="N829" s="15">
        <f t="shared" si="37"/>
        <v>54590.93</v>
      </c>
      <c r="O829" t="str">
        <f t="shared" si="38"/>
        <v>Yes</v>
      </c>
    </row>
    <row r="830" spans="1:15" x14ac:dyDescent="0.3">
      <c r="A830" s="2" t="s">
        <v>946</v>
      </c>
      <c r="B830" s="3">
        <v>45749</v>
      </c>
      <c r="C830" s="2" t="s">
        <v>941</v>
      </c>
      <c r="D830" s="2" t="s">
        <v>54</v>
      </c>
      <c r="E830" s="2" t="s">
        <v>55</v>
      </c>
      <c r="F830" s="2" t="s">
        <v>56</v>
      </c>
      <c r="G830" s="2" t="s">
        <v>57</v>
      </c>
      <c r="H830" s="2" t="s">
        <v>18</v>
      </c>
      <c r="I830" s="12">
        <v>53923.67</v>
      </c>
      <c r="J830" s="4">
        <v>0</v>
      </c>
      <c r="K830" s="2" t="s">
        <v>38</v>
      </c>
      <c r="L830" s="2" t="s">
        <v>20</v>
      </c>
      <c r="M830" s="17" t="str">
        <f t="shared" si="36"/>
        <v>0</v>
      </c>
      <c r="N830" s="15">
        <f t="shared" si="37"/>
        <v>53923.67</v>
      </c>
      <c r="O830" t="str">
        <f t="shared" si="38"/>
        <v>Yes</v>
      </c>
    </row>
    <row r="831" spans="1:15" x14ac:dyDescent="0.3">
      <c r="A831" s="5" t="s">
        <v>947</v>
      </c>
      <c r="B831" s="6">
        <v>45749</v>
      </c>
      <c r="C831" s="5" t="s">
        <v>941</v>
      </c>
      <c r="D831" s="5" t="s">
        <v>14</v>
      </c>
      <c r="E831" s="5" t="s">
        <v>104</v>
      </c>
      <c r="F831" s="5" t="s">
        <v>163</v>
      </c>
      <c r="G831" s="5" t="s">
        <v>164</v>
      </c>
      <c r="H831" s="5" t="s">
        <v>37</v>
      </c>
      <c r="I831" s="14">
        <v>1488.92</v>
      </c>
      <c r="J831" s="7">
        <v>2000</v>
      </c>
      <c r="K831" s="5" t="s">
        <v>38</v>
      </c>
      <c r="L831" s="5" t="s">
        <v>27</v>
      </c>
      <c r="M831" s="17">
        <f t="shared" si="36"/>
        <v>-511.07999999999993</v>
      </c>
      <c r="N831" s="15">
        <f t="shared" si="37"/>
        <v>-1488.92</v>
      </c>
      <c r="O831" t="str">
        <f t="shared" si="38"/>
        <v>No</v>
      </c>
    </row>
    <row r="832" spans="1:15" x14ac:dyDescent="0.3">
      <c r="A832" s="2" t="s">
        <v>948</v>
      </c>
      <c r="B832" s="3">
        <v>45749</v>
      </c>
      <c r="C832" s="2" t="s">
        <v>941</v>
      </c>
      <c r="D832" s="2" t="s">
        <v>14</v>
      </c>
      <c r="E832" s="2" t="s">
        <v>49</v>
      </c>
      <c r="F832" s="2" t="s">
        <v>77</v>
      </c>
      <c r="G832" s="2" t="s">
        <v>78</v>
      </c>
      <c r="H832" s="2" t="s">
        <v>18</v>
      </c>
      <c r="I832" s="12">
        <v>1867.39</v>
      </c>
      <c r="J832" s="4">
        <v>3500</v>
      </c>
      <c r="K832" s="2" t="s">
        <v>19</v>
      </c>
      <c r="L832" s="2" t="s">
        <v>27</v>
      </c>
      <c r="M832" s="17">
        <f t="shared" si="36"/>
        <v>-1632.61</v>
      </c>
      <c r="N832" s="15">
        <f t="shared" si="37"/>
        <v>-1867.39</v>
      </c>
      <c r="O832" t="str">
        <f t="shared" si="38"/>
        <v>No</v>
      </c>
    </row>
    <row r="833" spans="1:15" x14ac:dyDescent="0.3">
      <c r="A833" s="5" t="s">
        <v>949</v>
      </c>
      <c r="B833" s="6">
        <v>45750</v>
      </c>
      <c r="C833" s="5" t="s">
        <v>941</v>
      </c>
      <c r="D833" s="5" t="s">
        <v>14</v>
      </c>
      <c r="E833" s="5" t="s">
        <v>40</v>
      </c>
      <c r="F833" s="5" t="s">
        <v>97</v>
      </c>
      <c r="G833" s="5" t="s">
        <v>98</v>
      </c>
      <c r="H833" s="5" t="s">
        <v>37</v>
      </c>
      <c r="I833" s="14">
        <v>6035.52</v>
      </c>
      <c r="J833" s="7">
        <v>6000</v>
      </c>
      <c r="K833" s="5" t="s">
        <v>19</v>
      </c>
      <c r="L833" s="5" t="s">
        <v>27</v>
      </c>
      <c r="M833" s="17">
        <f t="shared" si="36"/>
        <v>35.520000000000437</v>
      </c>
      <c r="N833" s="15">
        <f t="shared" si="37"/>
        <v>-6035.52</v>
      </c>
      <c r="O833" t="str">
        <f t="shared" si="38"/>
        <v>Yes</v>
      </c>
    </row>
    <row r="834" spans="1:15" x14ac:dyDescent="0.3">
      <c r="A834" s="2" t="s">
        <v>950</v>
      </c>
      <c r="B834" s="3">
        <v>45750</v>
      </c>
      <c r="C834" s="2" t="s">
        <v>941</v>
      </c>
      <c r="D834" s="2" t="s">
        <v>14</v>
      </c>
      <c r="E834" s="2" t="s">
        <v>40</v>
      </c>
      <c r="F834" s="2" t="s">
        <v>41</v>
      </c>
      <c r="G834" s="2" t="s">
        <v>42</v>
      </c>
      <c r="H834" s="2" t="s">
        <v>18</v>
      </c>
      <c r="I834" s="12">
        <v>5897.72</v>
      </c>
      <c r="J834" s="4">
        <v>6000</v>
      </c>
      <c r="K834" s="2" t="s">
        <v>26</v>
      </c>
      <c r="L834" s="2" t="s">
        <v>27</v>
      </c>
      <c r="M834" s="17">
        <f t="shared" si="36"/>
        <v>-102.27999999999975</v>
      </c>
      <c r="N834" s="15">
        <f t="shared" si="37"/>
        <v>-5897.72</v>
      </c>
      <c r="O834" t="str">
        <f t="shared" si="38"/>
        <v>No</v>
      </c>
    </row>
    <row r="835" spans="1:15" x14ac:dyDescent="0.3">
      <c r="A835" s="5" t="s">
        <v>951</v>
      </c>
      <c r="B835" s="6">
        <v>45750</v>
      </c>
      <c r="C835" s="5" t="s">
        <v>941</v>
      </c>
      <c r="D835" s="5" t="s">
        <v>14</v>
      </c>
      <c r="E835" s="5" t="s">
        <v>15</v>
      </c>
      <c r="F835" s="5" t="s">
        <v>60</v>
      </c>
      <c r="G835" s="5" t="s">
        <v>61</v>
      </c>
      <c r="H835" s="5" t="s">
        <v>18</v>
      </c>
      <c r="I835" s="14">
        <v>11208.22</v>
      </c>
      <c r="J835" s="7">
        <v>12000</v>
      </c>
      <c r="K835" s="5" t="s">
        <v>38</v>
      </c>
      <c r="L835" s="5" t="s">
        <v>20</v>
      </c>
      <c r="M835" s="17">
        <f t="shared" ref="M835:M898" si="39">IF(J835=0,"0",I835-J835)</f>
        <v>-791.78000000000065</v>
      </c>
      <c r="N835" s="15">
        <f t="shared" ref="N835:N898" si="40">IF(D835="Income",I835,-I835)</f>
        <v>-11208.22</v>
      </c>
      <c r="O835" t="str">
        <f t="shared" ref="O835:O898" si="41">IF(M835&gt;0,"Yes","No")</f>
        <v>No</v>
      </c>
    </row>
    <row r="836" spans="1:15" x14ac:dyDescent="0.3">
      <c r="A836" s="2" t="s">
        <v>952</v>
      </c>
      <c r="B836" s="3">
        <v>45752</v>
      </c>
      <c r="C836" s="2" t="s">
        <v>941</v>
      </c>
      <c r="D836" s="2" t="s">
        <v>14</v>
      </c>
      <c r="E836" s="2" t="s">
        <v>34</v>
      </c>
      <c r="F836" s="2" t="s">
        <v>157</v>
      </c>
      <c r="G836" s="2" t="s">
        <v>158</v>
      </c>
      <c r="H836" s="2" t="s">
        <v>32</v>
      </c>
      <c r="I836" s="12">
        <v>5183.67</v>
      </c>
      <c r="J836" s="4">
        <v>4000</v>
      </c>
      <c r="K836" s="2" t="s">
        <v>19</v>
      </c>
      <c r="L836" s="2" t="s">
        <v>27</v>
      </c>
      <c r="M836" s="17">
        <f t="shared" si="39"/>
        <v>1183.67</v>
      </c>
      <c r="N836" s="15">
        <f t="shared" si="40"/>
        <v>-5183.67</v>
      </c>
      <c r="O836" t="str">
        <f t="shared" si="41"/>
        <v>Yes</v>
      </c>
    </row>
    <row r="837" spans="1:15" x14ac:dyDescent="0.3">
      <c r="A837" s="5" t="s">
        <v>953</v>
      </c>
      <c r="B837" s="6">
        <v>45752</v>
      </c>
      <c r="C837" s="5" t="s">
        <v>941</v>
      </c>
      <c r="D837" s="5" t="s">
        <v>14</v>
      </c>
      <c r="E837" s="5" t="s">
        <v>22</v>
      </c>
      <c r="F837" s="5" t="s">
        <v>154</v>
      </c>
      <c r="G837" s="5" t="s">
        <v>155</v>
      </c>
      <c r="H837" s="5" t="s">
        <v>18</v>
      </c>
      <c r="I837" s="14">
        <v>2847.79</v>
      </c>
      <c r="J837" s="7">
        <v>2500</v>
      </c>
      <c r="K837" s="5" t="s">
        <v>26</v>
      </c>
      <c r="L837" s="5" t="s">
        <v>27</v>
      </c>
      <c r="M837" s="17">
        <f t="shared" si="39"/>
        <v>347.78999999999996</v>
      </c>
      <c r="N837" s="15">
        <f t="shared" si="40"/>
        <v>-2847.79</v>
      </c>
      <c r="O837" t="str">
        <f t="shared" si="41"/>
        <v>Yes</v>
      </c>
    </row>
    <row r="838" spans="1:15" x14ac:dyDescent="0.3">
      <c r="A838" s="2" t="s">
        <v>954</v>
      </c>
      <c r="B838" s="3">
        <v>45753</v>
      </c>
      <c r="C838" s="2" t="s">
        <v>941</v>
      </c>
      <c r="D838" s="2" t="s">
        <v>14</v>
      </c>
      <c r="E838" s="2" t="s">
        <v>34</v>
      </c>
      <c r="F838" s="2" t="s">
        <v>35</v>
      </c>
      <c r="G838" s="2" t="s">
        <v>36</v>
      </c>
      <c r="H838" s="2" t="s">
        <v>52</v>
      </c>
      <c r="I838" s="12">
        <v>2605.4</v>
      </c>
      <c r="J838" s="4">
        <v>4000</v>
      </c>
      <c r="K838" s="2" t="s">
        <v>19</v>
      </c>
      <c r="L838" s="2" t="s">
        <v>27</v>
      </c>
      <c r="M838" s="17">
        <f t="shared" si="39"/>
        <v>-1394.6</v>
      </c>
      <c r="N838" s="15">
        <f t="shared" si="40"/>
        <v>-2605.4</v>
      </c>
      <c r="O838" t="str">
        <f t="shared" si="41"/>
        <v>No</v>
      </c>
    </row>
    <row r="839" spans="1:15" x14ac:dyDescent="0.3">
      <c r="A839" s="5" t="s">
        <v>955</v>
      </c>
      <c r="B839" s="6">
        <v>45753</v>
      </c>
      <c r="C839" s="5" t="s">
        <v>941</v>
      </c>
      <c r="D839" s="5" t="s">
        <v>14</v>
      </c>
      <c r="E839" s="5" t="s">
        <v>104</v>
      </c>
      <c r="F839" s="5" t="s">
        <v>105</v>
      </c>
      <c r="G839" s="5" t="s">
        <v>106</v>
      </c>
      <c r="H839" s="5" t="s">
        <v>18</v>
      </c>
      <c r="I839" s="14">
        <v>1422.32</v>
      </c>
      <c r="J839" s="7">
        <v>2000</v>
      </c>
      <c r="K839" s="5" t="s">
        <v>19</v>
      </c>
      <c r="L839" s="5" t="s">
        <v>20</v>
      </c>
      <c r="M839" s="17">
        <f t="shared" si="39"/>
        <v>-577.68000000000006</v>
      </c>
      <c r="N839" s="15">
        <f t="shared" si="40"/>
        <v>-1422.32</v>
      </c>
      <c r="O839" t="str">
        <f t="shared" si="41"/>
        <v>No</v>
      </c>
    </row>
    <row r="840" spans="1:15" x14ac:dyDescent="0.3">
      <c r="A840" s="2" t="s">
        <v>956</v>
      </c>
      <c r="B840" s="3">
        <v>45754</v>
      </c>
      <c r="C840" s="2" t="s">
        <v>941</v>
      </c>
      <c r="D840" s="2" t="s">
        <v>14</v>
      </c>
      <c r="E840" s="2" t="s">
        <v>40</v>
      </c>
      <c r="F840" s="2" t="s">
        <v>41</v>
      </c>
      <c r="G840" s="2" t="s">
        <v>42</v>
      </c>
      <c r="H840" s="2" t="s">
        <v>18</v>
      </c>
      <c r="I840" s="12">
        <v>4120.3100000000004</v>
      </c>
      <c r="J840" s="4">
        <v>6000</v>
      </c>
      <c r="K840" s="2" t="s">
        <v>47</v>
      </c>
      <c r="L840" s="2" t="s">
        <v>27</v>
      </c>
      <c r="M840" s="17">
        <f t="shared" si="39"/>
        <v>-1879.6899999999996</v>
      </c>
      <c r="N840" s="15">
        <f t="shared" si="40"/>
        <v>-4120.3100000000004</v>
      </c>
      <c r="O840" t="str">
        <f t="shared" si="41"/>
        <v>No</v>
      </c>
    </row>
    <row r="841" spans="1:15" x14ac:dyDescent="0.3">
      <c r="A841" s="5" t="s">
        <v>957</v>
      </c>
      <c r="B841" s="6">
        <v>45754</v>
      </c>
      <c r="C841" s="5" t="s">
        <v>941</v>
      </c>
      <c r="D841" s="5" t="s">
        <v>14</v>
      </c>
      <c r="E841" s="5" t="s">
        <v>49</v>
      </c>
      <c r="F841" s="5" t="s">
        <v>50</v>
      </c>
      <c r="G841" s="5" t="s">
        <v>51</v>
      </c>
      <c r="H841" s="5" t="s">
        <v>25</v>
      </c>
      <c r="I841" s="14">
        <v>2944.2</v>
      </c>
      <c r="J841" s="7">
        <v>3500</v>
      </c>
      <c r="K841" s="5" t="s">
        <v>19</v>
      </c>
      <c r="L841" s="5" t="s">
        <v>27</v>
      </c>
      <c r="M841" s="17">
        <f t="shared" si="39"/>
        <v>-555.80000000000018</v>
      </c>
      <c r="N841" s="15">
        <f t="shared" si="40"/>
        <v>-2944.2</v>
      </c>
      <c r="O841" t="str">
        <f t="shared" si="41"/>
        <v>No</v>
      </c>
    </row>
    <row r="842" spans="1:15" x14ac:dyDescent="0.3">
      <c r="A842" s="2" t="s">
        <v>958</v>
      </c>
      <c r="B842" s="3">
        <v>45754</v>
      </c>
      <c r="C842" s="2" t="s">
        <v>941</v>
      </c>
      <c r="D842" s="2" t="s">
        <v>14</v>
      </c>
      <c r="E842" s="2" t="s">
        <v>44</v>
      </c>
      <c r="F842" s="2" t="s">
        <v>45</v>
      </c>
      <c r="G842" s="2" t="s">
        <v>46</v>
      </c>
      <c r="H842" s="2" t="s">
        <v>32</v>
      </c>
      <c r="I842" s="12">
        <v>13716.72</v>
      </c>
      <c r="J842" s="4">
        <v>15000</v>
      </c>
      <c r="K842" s="2" t="s">
        <v>19</v>
      </c>
      <c r="L842" s="2" t="s">
        <v>20</v>
      </c>
      <c r="M842" s="17">
        <f t="shared" si="39"/>
        <v>-1283.2800000000007</v>
      </c>
      <c r="N842" s="15">
        <f t="shared" si="40"/>
        <v>-13716.72</v>
      </c>
      <c r="O842" t="str">
        <f t="shared" si="41"/>
        <v>No</v>
      </c>
    </row>
    <row r="843" spans="1:15" x14ac:dyDescent="0.3">
      <c r="A843" s="5" t="s">
        <v>959</v>
      </c>
      <c r="B843" s="6">
        <v>45754</v>
      </c>
      <c r="C843" s="5" t="s">
        <v>941</v>
      </c>
      <c r="D843" s="5" t="s">
        <v>14</v>
      </c>
      <c r="E843" s="5" t="s">
        <v>34</v>
      </c>
      <c r="F843" s="5" t="s">
        <v>94</v>
      </c>
      <c r="G843" s="5" t="s">
        <v>95</v>
      </c>
      <c r="H843" s="5" t="s">
        <v>37</v>
      </c>
      <c r="I843" s="14">
        <v>4968.66</v>
      </c>
      <c r="J843" s="7">
        <v>4000</v>
      </c>
      <c r="K843" s="5" t="s">
        <v>47</v>
      </c>
      <c r="L843" s="5" t="s">
        <v>27</v>
      </c>
      <c r="M843" s="17">
        <f t="shared" si="39"/>
        <v>968.65999999999985</v>
      </c>
      <c r="N843" s="15">
        <f t="shared" si="40"/>
        <v>-4968.66</v>
      </c>
      <c r="O843" t="str">
        <f t="shared" si="41"/>
        <v>Yes</v>
      </c>
    </row>
    <row r="844" spans="1:15" x14ac:dyDescent="0.3">
      <c r="A844" s="2" t="s">
        <v>960</v>
      </c>
      <c r="B844" s="3">
        <v>45755</v>
      </c>
      <c r="C844" s="2" t="s">
        <v>941</v>
      </c>
      <c r="D844" s="2" t="s">
        <v>14</v>
      </c>
      <c r="E844" s="2" t="s">
        <v>29</v>
      </c>
      <c r="F844" s="2" t="s">
        <v>238</v>
      </c>
      <c r="G844" s="2" t="s">
        <v>239</v>
      </c>
      <c r="H844" s="2" t="s">
        <v>37</v>
      </c>
      <c r="I844" s="12">
        <v>2604.62</v>
      </c>
      <c r="J844" s="4">
        <v>3000</v>
      </c>
      <c r="K844" s="2" t="s">
        <v>38</v>
      </c>
      <c r="L844" s="2" t="s">
        <v>20</v>
      </c>
      <c r="M844" s="17">
        <f t="shared" si="39"/>
        <v>-395.38000000000011</v>
      </c>
      <c r="N844" s="15">
        <f t="shared" si="40"/>
        <v>-2604.62</v>
      </c>
      <c r="O844" t="str">
        <f t="shared" si="41"/>
        <v>No</v>
      </c>
    </row>
    <row r="845" spans="1:15" x14ac:dyDescent="0.3">
      <c r="A845" s="5" t="s">
        <v>961</v>
      </c>
      <c r="B845" s="6">
        <v>45755</v>
      </c>
      <c r="C845" s="5" t="s">
        <v>941</v>
      </c>
      <c r="D845" s="5" t="s">
        <v>54</v>
      </c>
      <c r="E845" s="5" t="s">
        <v>55</v>
      </c>
      <c r="F845" s="5" t="s">
        <v>56</v>
      </c>
      <c r="G845" s="5" t="s">
        <v>57</v>
      </c>
      <c r="H845" s="5" t="s">
        <v>52</v>
      </c>
      <c r="I845" s="14">
        <v>40835.18</v>
      </c>
      <c r="J845" s="7">
        <v>0</v>
      </c>
      <c r="K845" s="5" t="s">
        <v>19</v>
      </c>
      <c r="L845" s="5" t="s">
        <v>20</v>
      </c>
      <c r="M845" s="17" t="str">
        <f t="shared" si="39"/>
        <v>0</v>
      </c>
      <c r="N845" s="15">
        <f t="shared" si="40"/>
        <v>40835.18</v>
      </c>
      <c r="O845" t="str">
        <f t="shared" si="41"/>
        <v>Yes</v>
      </c>
    </row>
    <row r="846" spans="1:15" x14ac:dyDescent="0.3">
      <c r="A846" s="2" t="s">
        <v>962</v>
      </c>
      <c r="B846" s="3">
        <v>45755</v>
      </c>
      <c r="C846" s="2" t="s">
        <v>941</v>
      </c>
      <c r="D846" s="2" t="s">
        <v>14</v>
      </c>
      <c r="E846" s="2" t="s">
        <v>40</v>
      </c>
      <c r="F846" s="2" t="s">
        <v>41</v>
      </c>
      <c r="G846" s="2" t="s">
        <v>42</v>
      </c>
      <c r="H846" s="2" t="s">
        <v>37</v>
      </c>
      <c r="I846" s="12">
        <v>3078.83</v>
      </c>
      <c r="J846" s="4">
        <v>6000</v>
      </c>
      <c r="K846" s="2" t="s">
        <v>19</v>
      </c>
      <c r="L846" s="2" t="s">
        <v>27</v>
      </c>
      <c r="M846" s="17">
        <f t="shared" si="39"/>
        <v>-2921.17</v>
      </c>
      <c r="N846" s="15">
        <f t="shared" si="40"/>
        <v>-3078.83</v>
      </c>
      <c r="O846" t="str">
        <f t="shared" si="41"/>
        <v>No</v>
      </c>
    </row>
    <row r="847" spans="1:15" x14ac:dyDescent="0.3">
      <c r="A847" s="5" t="s">
        <v>963</v>
      </c>
      <c r="B847" s="6">
        <v>45755</v>
      </c>
      <c r="C847" s="5" t="s">
        <v>941</v>
      </c>
      <c r="D847" s="5" t="s">
        <v>14</v>
      </c>
      <c r="E847" s="5" t="s">
        <v>112</v>
      </c>
      <c r="F847" s="5" t="s">
        <v>193</v>
      </c>
      <c r="G847" s="5" t="s">
        <v>194</v>
      </c>
      <c r="H847" s="5" t="s">
        <v>52</v>
      </c>
      <c r="I847" s="14">
        <v>7105.58</v>
      </c>
      <c r="J847" s="7">
        <v>8000</v>
      </c>
      <c r="K847" s="5" t="s">
        <v>47</v>
      </c>
      <c r="L847" s="5" t="s">
        <v>20</v>
      </c>
      <c r="M847" s="17">
        <f t="shared" si="39"/>
        <v>-894.42000000000007</v>
      </c>
      <c r="N847" s="15">
        <f t="shared" si="40"/>
        <v>-7105.58</v>
      </c>
      <c r="O847" t="str">
        <f t="shared" si="41"/>
        <v>No</v>
      </c>
    </row>
    <row r="848" spans="1:15" x14ac:dyDescent="0.3">
      <c r="A848" s="2" t="s">
        <v>964</v>
      </c>
      <c r="B848" s="3">
        <v>45755</v>
      </c>
      <c r="C848" s="2" t="s">
        <v>941</v>
      </c>
      <c r="D848" s="2" t="s">
        <v>14</v>
      </c>
      <c r="E848" s="2" t="s">
        <v>44</v>
      </c>
      <c r="F848" s="2" t="s">
        <v>45</v>
      </c>
      <c r="G848" s="2" t="s">
        <v>46</v>
      </c>
      <c r="H848" s="2" t="s">
        <v>37</v>
      </c>
      <c r="I848" s="12">
        <v>12547.94</v>
      </c>
      <c r="J848" s="4">
        <v>15000</v>
      </c>
      <c r="K848" s="2" t="s">
        <v>26</v>
      </c>
      <c r="L848" s="2" t="s">
        <v>20</v>
      </c>
      <c r="M848" s="17">
        <f t="shared" si="39"/>
        <v>-2452.0599999999995</v>
      </c>
      <c r="N848" s="15">
        <f t="shared" si="40"/>
        <v>-12547.94</v>
      </c>
      <c r="O848" t="str">
        <f t="shared" si="41"/>
        <v>No</v>
      </c>
    </row>
    <row r="849" spans="1:15" x14ac:dyDescent="0.3">
      <c r="A849" s="5" t="s">
        <v>965</v>
      </c>
      <c r="B849" s="6">
        <v>45756</v>
      </c>
      <c r="C849" s="5" t="s">
        <v>941</v>
      </c>
      <c r="D849" s="5" t="s">
        <v>14</v>
      </c>
      <c r="E849" s="5" t="s">
        <v>40</v>
      </c>
      <c r="F849" s="5" t="s">
        <v>97</v>
      </c>
      <c r="G849" s="5" t="s">
        <v>98</v>
      </c>
      <c r="H849" s="5" t="s">
        <v>18</v>
      </c>
      <c r="I849" s="14">
        <v>5380.02</v>
      </c>
      <c r="J849" s="7">
        <v>6000</v>
      </c>
      <c r="K849" s="5" t="s">
        <v>26</v>
      </c>
      <c r="L849" s="5" t="s">
        <v>27</v>
      </c>
      <c r="M849" s="17">
        <f t="shared" si="39"/>
        <v>-619.97999999999956</v>
      </c>
      <c r="N849" s="15">
        <f t="shared" si="40"/>
        <v>-5380.02</v>
      </c>
      <c r="O849" t="str">
        <f t="shared" si="41"/>
        <v>No</v>
      </c>
    </row>
    <row r="850" spans="1:15" x14ac:dyDescent="0.3">
      <c r="A850" s="2" t="s">
        <v>966</v>
      </c>
      <c r="B850" s="3">
        <v>45756</v>
      </c>
      <c r="C850" s="2" t="s">
        <v>941</v>
      </c>
      <c r="D850" s="2" t="s">
        <v>14</v>
      </c>
      <c r="E850" s="2" t="s">
        <v>104</v>
      </c>
      <c r="F850" s="2" t="s">
        <v>163</v>
      </c>
      <c r="G850" s="2" t="s">
        <v>164</v>
      </c>
      <c r="H850" s="2" t="s">
        <v>52</v>
      </c>
      <c r="I850" s="12">
        <v>2282.16</v>
      </c>
      <c r="J850" s="4">
        <v>2000</v>
      </c>
      <c r="K850" s="2" t="s">
        <v>19</v>
      </c>
      <c r="L850" s="2" t="s">
        <v>27</v>
      </c>
      <c r="M850" s="17">
        <f t="shared" si="39"/>
        <v>282.15999999999985</v>
      </c>
      <c r="N850" s="15">
        <f t="shared" si="40"/>
        <v>-2282.16</v>
      </c>
      <c r="O850" t="str">
        <f t="shared" si="41"/>
        <v>Yes</v>
      </c>
    </row>
    <row r="851" spans="1:15" x14ac:dyDescent="0.3">
      <c r="A851" s="5" t="s">
        <v>967</v>
      </c>
      <c r="B851" s="6">
        <v>45757</v>
      </c>
      <c r="C851" s="5" t="s">
        <v>941</v>
      </c>
      <c r="D851" s="5" t="s">
        <v>14</v>
      </c>
      <c r="E851" s="5" t="s">
        <v>22</v>
      </c>
      <c r="F851" s="5" t="s">
        <v>66</v>
      </c>
      <c r="G851" s="5" t="s">
        <v>67</v>
      </c>
      <c r="H851" s="5" t="s">
        <v>37</v>
      </c>
      <c r="I851" s="14">
        <v>2514.9699999999998</v>
      </c>
      <c r="J851" s="7">
        <v>2500</v>
      </c>
      <c r="K851" s="5" t="s">
        <v>19</v>
      </c>
      <c r="L851" s="5" t="s">
        <v>27</v>
      </c>
      <c r="M851" s="17">
        <f t="shared" si="39"/>
        <v>14.9699999999998</v>
      </c>
      <c r="N851" s="15">
        <f t="shared" si="40"/>
        <v>-2514.9699999999998</v>
      </c>
      <c r="O851" t="str">
        <f t="shared" si="41"/>
        <v>Yes</v>
      </c>
    </row>
    <row r="852" spans="1:15" x14ac:dyDescent="0.3">
      <c r="A852" s="2" t="s">
        <v>968</v>
      </c>
      <c r="B852" s="3">
        <v>45758</v>
      </c>
      <c r="C852" s="2" t="s">
        <v>941</v>
      </c>
      <c r="D852" s="2" t="s">
        <v>14</v>
      </c>
      <c r="E852" s="2" t="s">
        <v>104</v>
      </c>
      <c r="F852" s="2" t="s">
        <v>105</v>
      </c>
      <c r="G852" s="2" t="s">
        <v>106</v>
      </c>
      <c r="H852" s="2" t="s">
        <v>37</v>
      </c>
      <c r="I852" s="12">
        <v>2509.2800000000002</v>
      </c>
      <c r="J852" s="4">
        <v>2000</v>
      </c>
      <c r="K852" s="2" t="s">
        <v>26</v>
      </c>
      <c r="L852" s="2" t="s">
        <v>20</v>
      </c>
      <c r="M852" s="17">
        <f t="shared" si="39"/>
        <v>509.2800000000002</v>
      </c>
      <c r="N852" s="15">
        <f t="shared" si="40"/>
        <v>-2509.2800000000002</v>
      </c>
      <c r="O852" t="str">
        <f t="shared" si="41"/>
        <v>Yes</v>
      </c>
    </row>
    <row r="853" spans="1:15" x14ac:dyDescent="0.3">
      <c r="A853" s="5" t="s">
        <v>969</v>
      </c>
      <c r="B853" s="6">
        <v>45758</v>
      </c>
      <c r="C853" s="5" t="s">
        <v>941</v>
      </c>
      <c r="D853" s="5" t="s">
        <v>14</v>
      </c>
      <c r="E853" s="5" t="s">
        <v>29</v>
      </c>
      <c r="F853" s="5" t="s">
        <v>30</v>
      </c>
      <c r="G853" s="5" t="s">
        <v>31</v>
      </c>
      <c r="H853" s="5" t="s">
        <v>18</v>
      </c>
      <c r="I853" s="14">
        <v>3204.95</v>
      </c>
      <c r="J853" s="7">
        <v>3000</v>
      </c>
      <c r="K853" s="5" t="s">
        <v>47</v>
      </c>
      <c r="L853" s="5" t="s">
        <v>20</v>
      </c>
      <c r="M853" s="17">
        <f t="shared" si="39"/>
        <v>204.94999999999982</v>
      </c>
      <c r="N853" s="15">
        <f t="shared" si="40"/>
        <v>-3204.95</v>
      </c>
      <c r="O853" t="str">
        <f t="shared" si="41"/>
        <v>Yes</v>
      </c>
    </row>
    <row r="854" spans="1:15" x14ac:dyDescent="0.3">
      <c r="A854" s="2" t="s">
        <v>970</v>
      </c>
      <c r="B854" s="3">
        <v>45758</v>
      </c>
      <c r="C854" s="2" t="s">
        <v>941</v>
      </c>
      <c r="D854" s="2" t="s">
        <v>14</v>
      </c>
      <c r="E854" s="2" t="s">
        <v>72</v>
      </c>
      <c r="F854" s="2" t="s">
        <v>73</v>
      </c>
      <c r="G854" s="2" t="s">
        <v>74</v>
      </c>
      <c r="H854" s="2" t="s">
        <v>18</v>
      </c>
      <c r="I854" s="12">
        <v>1838.02</v>
      </c>
      <c r="J854" s="4">
        <v>2000</v>
      </c>
      <c r="K854" s="2" t="s">
        <v>47</v>
      </c>
      <c r="L854" s="2" t="s">
        <v>27</v>
      </c>
      <c r="M854" s="17">
        <f t="shared" si="39"/>
        <v>-161.98000000000002</v>
      </c>
      <c r="N854" s="15">
        <f t="shared" si="40"/>
        <v>-1838.02</v>
      </c>
      <c r="O854" t="str">
        <f t="shared" si="41"/>
        <v>No</v>
      </c>
    </row>
    <row r="855" spans="1:15" x14ac:dyDescent="0.3">
      <c r="A855" s="5" t="s">
        <v>971</v>
      </c>
      <c r="B855" s="6">
        <v>45759</v>
      </c>
      <c r="C855" s="5" t="s">
        <v>941</v>
      </c>
      <c r="D855" s="5" t="s">
        <v>54</v>
      </c>
      <c r="E855" s="5" t="s">
        <v>87</v>
      </c>
      <c r="F855" s="5" t="s">
        <v>176</v>
      </c>
      <c r="G855" s="5" t="s">
        <v>177</v>
      </c>
      <c r="H855" s="5" t="s">
        <v>37</v>
      </c>
      <c r="I855" s="14">
        <v>3259.65</v>
      </c>
      <c r="J855" s="7">
        <v>0</v>
      </c>
      <c r="K855" s="5" t="s">
        <v>38</v>
      </c>
      <c r="L855" s="5" t="s">
        <v>27</v>
      </c>
      <c r="M855" s="17" t="str">
        <f t="shared" si="39"/>
        <v>0</v>
      </c>
      <c r="N855" s="15">
        <f t="shared" si="40"/>
        <v>3259.65</v>
      </c>
      <c r="O855" t="str">
        <f t="shared" si="41"/>
        <v>Yes</v>
      </c>
    </row>
    <row r="856" spans="1:15" x14ac:dyDescent="0.3">
      <c r="A856" s="2" t="s">
        <v>972</v>
      </c>
      <c r="B856" s="3">
        <v>45759</v>
      </c>
      <c r="C856" s="2" t="s">
        <v>941</v>
      </c>
      <c r="D856" s="2" t="s">
        <v>14</v>
      </c>
      <c r="E856" s="2" t="s">
        <v>44</v>
      </c>
      <c r="F856" s="2" t="s">
        <v>45</v>
      </c>
      <c r="G856" s="2" t="s">
        <v>46</v>
      </c>
      <c r="H856" s="2" t="s">
        <v>37</v>
      </c>
      <c r="I856" s="12">
        <v>8323.9500000000007</v>
      </c>
      <c r="J856" s="4">
        <v>15000</v>
      </c>
      <c r="K856" s="2" t="s">
        <v>19</v>
      </c>
      <c r="L856" s="2" t="s">
        <v>20</v>
      </c>
      <c r="M856" s="17">
        <f t="shared" si="39"/>
        <v>-6676.0499999999993</v>
      </c>
      <c r="N856" s="15">
        <f t="shared" si="40"/>
        <v>-8323.9500000000007</v>
      </c>
      <c r="O856" t="str">
        <f t="shared" si="41"/>
        <v>No</v>
      </c>
    </row>
    <row r="857" spans="1:15" x14ac:dyDescent="0.3">
      <c r="A857" s="5" t="s">
        <v>973</v>
      </c>
      <c r="B857" s="6">
        <v>45759</v>
      </c>
      <c r="C857" s="5" t="s">
        <v>941</v>
      </c>
      <c r="D857" s="5" t="s">
        <v>14</v>
      </c>
      <c r="E857" s="5" t="s">
        <v>15</v>
      </c>
      <c r="F857" s="5" t="s">
        <v>16</v>
      </c>
      <c r="G857" s="5" t="s">
        <v>17</v>
      </c>
      <c r="H857" s="5" t="s">
        <v>18</v>
      </c>
      <c r="I857" s="14">
        <v>13492.87</v>
      </c>
      <c r="J857" s="7">
        <v>12000</v>
      </c>
      <c r="K857" s="5" t="s">
        <v>19</v>
      </c>
      <c r="L857" s="5" t="s">
        <v>20</v>
      </c>
      <c r="M857" s="17">
        <f t="shared" si="39"/>
        <v>1492.8700000000008</v>
      </c>
      <c r="N857" s="15">
        <f t="shared" si="40"/>
        <v>-13492.87</v>
      </c>
      <c r="O857" t="str">
        <f t="shared" si="41"/>
        <v>Yes</v>
      </c>
    </row>
    <row r="858" spans="1:15" x14ac:dyDescent="0.3">
      <c r="A858" s="2" t="s">
        <v>974</v>
      </c>
      <c r="B858" s="3">
        <v>45759</v>
      </c>
      <c r="C858" s="2" t="s">
        <v>941</v>
      </c>
      <c r="D858" s="2" t="s">
        <v>14</v>
      </c>
      <c r="E858" s="2" t="s">
        <v>104</v>
      </c>
      <c r="F858" s="2" t="s">
        <v>184</v>
      </c>
      <c r="G858" s="2" t="s">
        <v>185</v>
      </c>
      <c r="H858" s="2" t="s">
        <v>32</v>
      </c>
      <c r="I858" s="12">
        <v>1019.66</v>
      </c>
      <c r="J858" s="4">
        <v>2000</v>
      </c>
      <c r="K858" s="2" t="s">
        <v>26</v>
      </c>
      <c r="L858" s="2" t="s">
        <v>27</v>
      </c>
      <c r="M858" s="17">
        <f t="shared" si="39"/>
        <v>-980.34</v>
      </c>
      <c r="N858" s="15">
        <f t="shared" si="40"/>
        <v>-1019.66</v>
      </c>
      <c r="O858" t="str">
        <f t="shared" si="41"/>
        <v>No</v>
      </c>
    </row>
    <row r="859" spans="1:15" x14ac:dyDescent="0.3">
      <c r="A859" s="5" t="s">
        <v>975</v>
      </c>
      <c r="B859" s="6">
        <v>45760</v>
      </c>
      <c r="C859" s="5" t="s">
        <v>941</v>
      </c>
      <c r="D859" s="5" t="s">
        <v>14</v>
      </c>
      <c r="E859" s="5" t="s">
        <v>34</v>
      </c>
      <c r="F859" s="5" t="s">
        <v>94</v>
      </c>
      <c r="G859" s="5" t="s">
        <v>95</v>
      </c>
      <c r="H859" s="5" t="s">
        <v>52</v>
      </c>
      <c r="I859" s="14">
        <v>3312.5</v>
      </c>
      <c r="J859" s="7">
        <v>4000</v>
      </c>
      <c r="K859" s="5" t="s">
        <v>19</v>
      </c>
      <c r="L859" s="5" t="s">
        <v>20</v>
      </c>
      <c r="M859" s="17">
        <f t="shared" si="39"/>
        <v>-687.5</v>
      </c>
      <c r="N859" s="15">
        <f t="shared" si="40"/>
        <v>-3312.5</v>
      </c>
      <c r="O859" t="str">
        <f t="shared" si="41"/>
        <v>No</v>
      </c>
    </row>
    <row r="860" spans="1:15" x14ac:dyDescent="0.3">
      <c r="A860" s="2" t="s">
        <v>976</v>
      </c>
      <c r="B860" s="3">
        <v>45761</v>
      </c>
      <c r="C860" s="2" t="s">
        <v>941</v>
      </c>
      <c r="D860" s="2" t="s">
        <v>54</v>
      </c>
      <c r="E860" s="2" t="s">
        <v>55</v>
      </c>
      <c r="F860" s="2" t="s">
        <v>56</v>
      </c>
      <c r="G860" s="2" t="s">
        <v>57</v>
      </c>
      <c r="H860" s="2" t="s">
        <v>37</v>
      </c>
      <c r="I860" s="12">
        <v>44864.3</v>
      </c>
      <c r="J860" s="4">
        <v>0</v>
      </c>
      <c r="K860" s="2" t="s">
        <v>19</v>
      </c>
      <c r="L860" s="2" t="s">
        <v>20</v>
      </c>
      <c r="M860" s="17" t="str">
        <f t="shared" si="39"/>
        <v>0</v>
      </c>
      <c r="N860" s="15">
        <f t="shared" si="40"/>
        <v>44864.3</v>
      </c>
      <c r="O860" t="str">
        <f t="shared" si="41"/>
        <v>Yes</v>
      </c>
    </row>
    <row r="861" spans="1:15" x14ac:dyDescent="0.3">
      <c r="A861" s="5" t="s">
        <v>977</v>
      </c>
      <c r="B861" s="6">
        <v>45761</v>
      </c>
      <c r="C861" s="5" t="s">
        <v>941</v>
      </c>
      <c r="D861" s="5" t="s">
        <v>14</v>
      </c>
      <c r="E861" s="5" t="s">
        <v>40</v>
      </c>
      <c r="F861" s="5" t="s">
        <v>41</v>
      </c>
      <c r="G861" s="5" t="s">
        <v>42</v>
      </c>
      <c r="H861" s="5" t="s">
        <v>37</v>
      </c>
      <c r="I861" s="14">
        <v>6774.81</v>
      </c>
      <c r="J861" s="7">
        <v>6000</v>
      </c>
      <c r="K861" s="5" t="s">
        <v>47</v>
      </c>
      <c r="L861" s="5" t="s">
        <v>27</v>
      </c>
      <c r="M861" s="17">
        <f t="shared" si="39"/>
        <v>774.8100000000004</v>
      </c>
      <c r="N861" s="15">
        <f t="shared" si="40"/>
        <v>-6774.81</v>
      </c>
      <c r="O861" t="str">
        <f t="shared" si="41"/>
        <v>Yes</v>
      </c>
    </row>
    <row r="862" spans="1:15" x14ac:dyDescent="0.3">
      <c r="A862" s="2" t="s">
        <v>978</v>
      </c>
      <c r="B862" s="3">
        <v>45761</v>
      </c>
      <c r="C862" s="2" t="s">
        <v>941</v>
      </c>
      <c r="D862" s="2" t="s">
        <v>14</v>
      </c>
      <c r="E862" s="2" t="s">
        <v>34</v>
      </c>
      <c r="F862" s="2" t="s">
        <v>94</v>
      </c>
      <c r="G862" s="2" t="s">
        <v>95</v>
      </c>
      <c r="H862" s="2" t="s">
        <v>25</v>
      </c>
      <c r="I862" s="12">
        <v>2574.46</v>
      </c>
      <c r="J862" s="4">
        <v>4000</v>
      </c>
      <c r="K862" s="2" t="s">
        <v>38</v>
      </c>
      <c r="L862" s="2" t="s">
        <v>20</v>
      </c>
      <c r="M862" s="17">
        <f t="shared" si="39"/>
        <v>-1425.54</v>
      </c>
      <c r="N862" s="15">
        <f t="shared" si="40"/>
        <v>-2574.46</v>
      </c>
      <c r="O862" t="str">
        <f t="shared" si="41"/>
        <v>No</v>
      </c>
    </row>
    <row r="863" spans="1:15" x14ac:dyDescent="0.3">
      <c r="A863" s="5" t="s">
        <v>979</v>
      </c>
      <c r="B863" s="6">
        <v>45761</v>
      </c>
      <c r="C863" s="5" t="s">
        <v>941</v>
      </c>
      <c r="D863" s="5" t="s">
        <v>14</v>
      </c>
      <c r="E863" s="5" t="s">
        <v>40</v>
      </c>
      <c r="F863" s="5" t="s">
        <v>97</v>
      </c>
      <c r="G863" s="5" t="s">
        <v>98</v>
      </c>
      <c r="H863" s="5" t="s">
        <v>37</v>
      </c>
      <c r="I863" s="14">
        <v>5375.1</v>
      </c>
      <c r="J863" s="7">
        <v>6000</v>
      </c>
      <c r="K863" s="5" t="s">
        <v>26</v>
      </c>
      <c r="L863" s="5" t="s">
        <v>27</v>
      </c>
      <c r="M863" s="17">
        <f t="shared" si="39"/>
        <v>-624.89999999999964</v>
      </c>
      <c r="N863" s="15">
        <f t="shared" si="40"/>
        <v>-5375.1</v>
      </c>
      <c r="O863" t="str">
        <f t="shared" si="41"/>
        <v>No</v>
      </c>
    </row>
    <row r="864" spans="1:15" x14ac:dyDescent="0.3">
      <c r="A864" s="2" t="s">
        <v>980</v>
      </c>
      <c r="B864" s="3">
        <v>45762</v>
      </c>
      <c r="C864" s="2" t="s">
        <v>941</v>
      </c>
      <c r="D864" s="2" t="s">
        <v>14</v>
      </c>
      <c r="E864" s="2" t="s">
        <v>112</v>
      </c>
      <c r="F864" s="2" t="s">
        <v>113</v>
      </c>
      <c r="G864" s="2" t="s">
        <v>114</v>
      </c>
      <c r="H864" s="2" t="s">
        <v>18</v>
      </c>
      <c r="I864" s="12">
        <v>8133.99</v>
      </c>
      <c r="J864" s="4">
        <v>8000</v>
      </c>
      <c r="K864" s="2" t="s">
        <v>38</v>
      </c>
      <c r="L864" s="2" t="s">
        <v>20</v>
      </c>
      <c r="M864" s="17">
        <f t="shared" si="39"/>
        <v>133.98999999999978</v>
      </c>
      <c r="N864" s="15">
        <f t="shared" si="40"/>
        <v>-8133.99</v>
      </c>
      <c r="O864" t="str">
        <f t="shared" si="41"/>
        <v>Yes</v>
      </c>
    </row>
    <row r="865" spans="1:15" x14ac:dyDescent="0.3">
      <c r="A865" s="5" t="s">
        <v>981</v>
      </c>
      <c r="B865" s="6">
        <v>45762</v>
      </c>
      <c r="C865" s="5" t="s">
        <v>941</v>
      </c>
      <c r="D865" s="5" t="s">
        <v>14</v>
      </c>
      <c r="E865" s="5" t="s">
        <v>40</v>
      </c>
      <c r="F865" s="5" t="s">
        <v>41</v>
      </c>
      <c r="G865" s="5" t="s">
        <v>42</v>
      </c>
      <c r="H865" s="5" t="s">
        <v>52</v>
      </c>
      <c r="I865" s="14">
        <v>6415.27</v>
      </c>
      <c r="J865" s="7">
        <v>6000</v>
      </c>
      <c r="K865" s="5" t="s">
        <v>38</v>
      </c>
      <c r="L865" s="5" t="s">
        <v>20</v>
      </c>
      <c r="M865" s="17">
        <f t="shared" si="39"/>
        <v>415.27000000000044</v>
      </c>
      <c r="N865" s="15">
        <f t="shared" si="40"/>
        <v>-6415.27</v>
      </c>
      <c r="O865" t="str">
        <f t="shared" si="41"/>
        <v>Yes</v>
      </c>
    </row>
    <row r="866" spans="1:15" x14ac:dyDescent="0.3">
      <c r="A866" s="2" t="s">
        <v>982</v>
      </c>
      <c r="B866" s="3">
        <v>45764</v>
      </c>
      <c r="C866" s="2" t="s">
        <v>941</v>
      </c>
      <c r="D866" s="2" t="s">
        <v>14</v>
      </c>
      <c r="E866" s="2" t="s">
        <v>15</v>
      </c>
      <c r="F866" s="2" t="s">
        <v>83</v>
      </c>
      <c r="G866" s="2" t="s">
        <v>84</v>
      </c>
      <c r="H866" s="2" t="s">
        <v>25</v>
      </c>
      <c r="I866" s="12">
        <v>12739.04</v>
      </c>
      <c r="J866" s="4">
        <v>12000</v>
      </c>
      <c r="K866" s="2" t="s">
        <v>26</v>
      </c>
      <c r="L866" s="2" t="s">
        <v>20</v>
      </c>
      <c r="M866" s="17">
        <f t="shared" si="39"/>
        <v>739.04000000000087</v>
      </c>
      <c r="N866" s="15">
        <f t="shared" si="40"/>
        <v>-12739.04</v>
      </c>
      <c r="O866" t="str">
        <f t="shared" si="41"/>
        <v>Yes</v>
      </c>
    </row>
    <row r="867" spans="1:15" x14ac:dyDescent="0.3">
      <c r="A867" s="5" t="s">
        <v>983</v>
      </c>
      <c r="B867" s="6">
        <v>45766</v>
      </c>
      <c r="C867" s="5" t="s">
        <v>941</v>
      </c>
      <c r="D867" s="5" t="s">
        <v>14</v>
      </c>
      <c r="E867" s="5" t="s">
        <v>15</v>
      </c>
      <c r="F867" s="5" t="s">
        <v>83</v>
      </c>
      <c r="G867" s="5" t="s">
        <v>84</v>
      </c>
      <c r="H867" s="5" t="s">
        <v>25</v>
      </c>
      <c r="I867" s="14">
        <v>10534.31</v>
      </c>
      <c r="J867" s="7">
        <v>12000</v>
      </c>
      <c r="K867" s="5" t="s">
        <v>47</v>
      </c>
      <c r="L867" s="5" t="s">
        <v>20</v>
      </c>
      <c r="M867" s="17">
        <f t="shared" si="39"/>
        <v>-1465.6900000000005</v>
      </c>
      <c r="N867" s="15">
        <f t="shared" si="40"/>
        <v>-10534.31</v>
      </c>
      <c r="O867" t="str">
        <f t="shared" si="41"/>
        <v>No</v>
      </c>
    </row>
    <row r="868" spans="1:15" x14ac:dyDescent="0.3">
      <c r="A868" s="2" t="s">
        <v>984</v>
      </c>
      <c r="B868" s="3">
        <v>45767</v>
      </c>
      <c r="C868" s="2" t="s">
        <v>941</v>
      </c>
      <c r="D868" s="2" t="s">
        <v>14</v>
      </c>
      <c r="E868" s="2" t="s">
        <v>49</v>
      </c>
      <c r="F868" s="2" t="s">
        <v>77</v>
      </c>
      <c r="G868" s="2" t="s">
        <v>78</v>
      </c>
      <c r="H868" s="2" t="s">
        <v>25</v>
      </c>
      <c r="I868" s="12">
        <v>1924.61</v>
      </c>
      <c r="J868" s="4">
        <v>3500</v>
      </c>
      <c r="K868" s="2" t="s">
        <v>26</v>
      </c>
      <c r="L868" s="2" t="s">
        <v>27</v>
      </c>
      <c r="M868" s="17">
        <f t="shared" si="39"/>
        <v>-1575.39</v>
      </c>
      <c r="N868" s="15">
        <f t="shared" si="40"/>
        <v>-1924.61</v>
      </c>
      <c r="O868" t="str">
        <f t="shared" si="41"/>
        <v>No</v>
      </c>
    </row>
    <row r="869" spans="1:15" x14ac:dyDescent="0.3">
      <c r="A869" s="5" t="s">
        <v>985</v>
      </c>
      <c r="B869" s="6">
        <v>45767</v>
      </c>
      <c r="C869" s="5" t="s">
        <v>941</v>
      </c>
      <c r="D869" s="5" t="s">
        <v>14</v>
      </c>
      <c r="E869" s="5" t="s">
        <v>15</v>
      </c>
      <c r="F869" s="5" t="s">
        <v>83</v>
      </c>
      <c r="G869" s="5" t="s">
        <v>84</v>
      </c>
      <c r="H869" s="5" t="s">
        <v>37</v>
      </c>
      <c r="I869" s="14">
        <v>15234.99</v>
      </c>
      <c r="J869" s="7">
        <v>12000</v>
      </c>
      <c r="K869" s="5" t="s">
        <v>38</v>
      </c>
      <c r="L869" s="5" t="s">
        <v>20</v>
      </c>
      <c r="M869" s="17">
        <f t="shared" si="39"/>
        <v>3234.99</v>
      </c>
      <c r="N869" s="15">
        <f t="shared" si="40"/>
        <v>-15234.99</v>
      </c>
      <c r="O869" t="str">
        <f t="shared" si="41"/>
        <v>Yes</v>
      </c>
    </row>
    <row r="870" spans="1:15" x14ac:dyDescent="0.3">
      <c r="A870" s="2" t="s">
        <v>986</v>
      </c>
      <c r="B870" s="3">
        <v>45768</v>
      </c>
      <c r="C870" s="2" t="s">
        <v>941</v>
      </c>
      <c r="D870" s="2" t="s">
        <v>14</v>
      </c>
      <c r="E870" s="2" t="s">
        <v>34</v>
      </c>
      <c r="F870" s="2" t="s">
        <v>94</v>
      </c>
      <c r="G870" s="2" t="s">
        <v>95</v>
      </c>
      <c r="H870" s="2" t="s">
        <v>37</v>
      </c>
      <c r="I870" s="12">
        <v>4331.08</v>
      </c>
      <c r="J870" s="4">
        <v>4000</v>
      </c>
      <c r="K870" s="2" t="s">
        <v>47</v>
      </c>
      <c r="L870" s="2" t="s">
        <v>27</v>
      </c>
      <c r="M870" s="17">
        <f t="shared" si="39"/>
        <v>331.07999999999993</v>
      </c>
      <c r="N870" s="15">
        <f t="shared" si="40"/>
        <v>-4331.08</v>
      </c>
      <c r="O870" t="str">
        <f t="shared" si="41"/>
        <v>Yes</v>
      </c>
    </row>
    <row r="871" spans="1:15" x14ac:dyDescent="0.3">
      <c r="A871" s="5" t="s">
        <v>987</v>
      </c>
      <c r="B871" s="6">
        <v>45768</v>
      </c>
      <c r="C871" s="5" t="s">
        <v>941</v>
      </c>
      <c r="D871" s="5" t="s">
        <v>14</v>
      </c>
      <c r="E871" s="5" t="s">
        <v>15</v>
      </c>
      <c r="F871" s="5" t="s">
        <v>16</v>
      </c>
      <c r="G871" s="5" t="s">
        <v>17</v>
      </c>
      <c r="H871" s="5" t="s">
        <v>25</v>
      </c>
      <c r="I871" s="14">
        <v>14308.75</v>
      </c>
      <c r="J871" s="7">
        <v>12000</v>
      </c>
      <c r="K871" s="5" t="s">
        <v>38</v>
      </c>
      <c r="L871" s="5" t="s">
        <v>20</v>
      </c>
      <c r="M871" s="17">
        <f t="shared" si="39"/>
        <v>2308.75</v>
      </c>
      <c r="N871" s="15">
        <f t="shared" si="40"/>
        <v>-14308.75</v>
      </c>
      <c r="O871" t="str">
        <f t="shared" si="41"/>
        <v>Yes</v>
      </c>
    </row>
    <row r="872" spans="1:15" x14ac:dyDescent="0.3">
      <c r="A872" s="2" t="s">
        <v>988</v>
      </c>
      <c r="B872" s="3">
        <v>45768</v>
      </c>
      <c r="C872" s="2" t="s">
        <v>941</v>
      </c>
      <c r="D872" s="2" t="s">
        <v>14</v>
      </c>
      <c r="E872" s="2" t="s">
        <v>34</v>
      </c>
      <c r="F872" s="2" t="s">
        <v>35</v>
      </c>
      <c r="G872" s="2" t="s">
        <v>36</v>
      </c>
      <c r="H872" s="2" t="s">
        <v>18</v>
      </c>
      <c r="I872" s="12">
        <v>2434.79</v>
      </c>
      <c r="J872" s="4">
        <v>4000</v>
      </c>
      <c r="K872" s="2" t="s">
        <v>19</v>
      </c>
      <c r="L872" s="2" t="s">
        <v>27</v>
      </c>
      <c r="M872" s="17">
        <f t="shared" si="39"/>
        <v>-1565.21</v>
      </c>
      <c r="N872" s="15">
        <f t="shared" si="40"/>
        <v>-2434.79</v>
      </c>
      <c r="O872" t="str">
        <f t="shared" si="41"/>
        <v>No</v>
      </c>
    </row>
    <row r="873" spans="1:15" x14ac:dyDescent="0.3">
      <c r="A873" s="5" t="s">
        <v>989</v>
      </c>
      <c r="B873" s="6">
        <v>45769</v>
      </c>
      <c r="C873" s="5" t="s">
        <v>941</v>
      </c>
      <c r="D873" s="5" t="s">
        <v>14</v>
      </c>
      <c r="E873" s="5" t="s">
        <v>104</v>
      </c>
      <c r="F873" s="5" t="s">
        <v>163</v>
      </c>
      <c r="G873" s="5" t="s">
        <v>164</v>
      </c>
      <c r="H873" s="5" t="s">
        <v>25</v>
      </c>
      <c r="I873" s="14">
        <v>2411.44</v>
      </c>
      <c r="J873" s="7">
        <v>2000</v>
      </c>
      <c r="K873" s="5" t="s">
        <v>26</v>
      </c>
      <c r="L873" s="5" t="s">
        <v>27</v>
      </c>
      <c r="M873" s="17">
        <f t="shared" si="39"/>
        <v>411.44000000000005</v>
      </c>
      <c r="N873" s="15">
        <f t="shared" si="40"/>
        <v>-2411.44</v>
      </c>
      <c r="O873" t="str">
        <f t="shared" si="41"/>
        <v>Yes</v>
      </c>
    </row>
    <row r="874" spans="1:15" x14ac:dyDescent="0.3">
      <c r="A874" s="2" t="s">
        <v>990</v>
      </c>
      <c r="B874" s="3">
        <v>45769</v>
      </c>
      <c r="C874" s="2" t="s">
        <v>941</v>
      </c>
      <c r="D874" s="2" t="s">
        <v>14</v>
      </c>
      <c r="E874" s="2" t="s">
        <v>49</v>
      </c>
      <c r="F874" s="2" t="s">
        <v>180</v>
      </c>
      <c r="G874" s="2" t="s">
        <v>181</v>
      </c>
      <c r="H874" s="2" t="s">
        <v>18</v>
      </c>
      <c r="I874" s="12">
        <v>2053.98</v>
      </c>
      <c r="J874" s="4">
        <v>3500</v>
      </c>
      <c r="K874" s="2" t="s">
        <v>19</v>
      </c>
      <c r="L874" s="2" t="s">
        <v>20</v>
      </c>
      <c r="M874" s="17">
        <f t="shared" si="39"/>
        <v>-1446.02</v>
      </c>
      <c r="N874" s="15">
        <f t="shared" si="40"/>
        <v>-2053.98</v>
      </c>
      <c r="O874" t="str">
        <f t="shared" si="41"/>
        <v>No</v>
      </c>
    </row>
    <row r="875" spans="1:15" x14ac:dyDescent="0.3">
      <c r="A875" s="5" t="s">
        <v>991</v>
      </c>
      <c r="B875" s="6">
        <v>45769</v>
      </c>
      <c r="C875" s="5" t="s">
        <v>941</v>
      </c>
      <c r="D875" s="5" t="s">
        <v>14</v>
      </c>
      <c r="E875" s="5" t="s">
        <v>40</v>
      </c>
      <c r="F875" s="5" t="s">
        <v>41</v>
      </c>
      <c r="G875" s="5" t="s">
        <v>42</v>
      </c>
      <c r="H875" s="5" t="s">
        <v>25</v>
      </c>
      <c r="I875" s="14">
        <v>5293.77</v>
      </c>
      <c r="J875" s="7">
        <v>6000</v>
      </c>
      <c r="K875" s="5" t="s">
        <v>19</v>
      </c>
      <c r="L875" s="5" t="s">
        <v>20</v>
      </c>
      <c r="M875" s="17">
        <f t="shared" si="39"/>
        <v>-706.22999999999956</v>
      </c>
      <c r="N875" s="15">
        <f t="shared" si="40"/>
        <v>-5293.77</v>
      </c>
      <c r="O875" t="str">
        <f t="shared" si="41"/>
        <v>No</v>
      </c>
    </row>
    <row r="876" spans="1:15" x14ac:dyDescent="0.3">
      <c r="A876" s="2" t="s">
        <v>992</v>
      </c>
      <c r="B876" s="3">
        <v>45771</v>
      </c>
      <c r="C876" s="2" t="s">
        <v>941</v>
      </c>
      <c r="D876" s="2" t="s">
        <v>54</v>
      </c>
      <c r="E876" s="2" t="s">
        <v>87</v>
      </c>
      <c r="F876" s="2" t="s">
        <v>176</v>
      </c>
      <c r="G876" s="2" t="s">
        <v>177</v>
      </c>
      <c r="H876" s="2" t="s">
        <v>37</v>
      </c>
      <c r="I876" s="12">
        <v>9533.0499999999993</v>
      </c>
      <c r="J876" s="4">
        <v>0</v>
      </c>
      <c r="K876" s="2" t="s">
        <v>38</v>
      </c>
      <c r="L876" s="2" t="s">
        <v>27</v>
      </c>
      <c r="M876" s="17" t="str">
        <f t="shared" si="39"/>
        <v>0</v>
      </c>
      <c r="N876" s="15">
        <f t="shared" si="40"/>
        <v>9533.0499999999993</v>
      </c>
      <c r="O876" t="str">
        <f t="shared" si="41"/>
        <v>Yes</v>
      </c>
    </row>
    <row r="877" spans="1:15" x14ac:dyDescent="0.3">
      <c r="A877" s="5" t="s">
        <v>993</v>
      </c>
      <c r="B877" s="6">
        <v>45771</v>
      </c>
      <c r="C877" s="5" t="s">
        <v>941</v>
      </c>
      <c r="D877" s="5" t="s">
        <v>14</v>
      </c>
      <c r="E877" s="5" t="s">
        <v>40</v>
      </c>
      <c r="F877" s="5" t="s">
        <v>97</v>
      </c>
      <c r="G877" s="5" t="s">
        <v>98</v>
      </c>
      <c r="H877" s="5" t="s">
        <v>32</v>
      </c>
      <c r="I877" s="14">
        <v>6417.44</v>
      </c>
      <c r="J877" s="7">
        <v>6000</v>
      </c>
      <c r="K877" s="5" t="s">
        <v>26</v>
      </c>
      <c r="L877" s="5" t="s">
        <v>27</v>
      </c>
      <c r="M877" s="17">
        <f t="shared" si="39"/>
        <v>417.4399999999996</v>
      </c>
      <c r="N877" s="15">
        <f t="shared" si="40"/>
        <v>-6417.44</v>
      </c>
      <c r="O877" t="str">
        <f t="shared" si="41"/>
        <v>Yes</v>
      </c>
    </row>
    <row r="878" spans="1:15" x14ac:dyDescent="0.3">
      <c r="A878" s="2" t="s">
        <v>994</v>
      </c>
      <c r="B878" s="3">
        <v>45771</v>
      </c>
      <c r="C878" s="2" t="s">
        <v>941</v>
      </c>
      <c r="D878" s="2" t="s">
        <v>14</v>
      </c>
      <c r="E878" s="2" t="s">
        <v>72</v>
      </c>
      <c r="F878" s="2" t="s">
        <v>132</v>
      </c>
      <c r="G878" s="2" t="s">
        <v>133</v>
      </c>
      <c r="H878" s="2" t="s">
        <v>37</v>
      </c>
      <c r="I878" s="12">
        <v>1947.08</v>
      </c>
      <c r="J878" s="4">
        <v>2000</v>
      </c>
      <c r="K878" s="2" t="s">
        <v>47</v>
      </c>
      <c r="L878" s="2" t="s">
        <v>27</v>
      </c>
      <c r="M878" s="17">
        <f t="shared" si="39"/>
        <v>-52.920000000000073</v>
      </c>
      <c r="N878" s="15">
        <f t="shared" si="40"/>
        <v>-1947.08</v>
      </c>
      <c r="O878" t="str">
        <f t="shared" si="41"/>
        <v>No</v>
      </c>
    </row>
    <row r="879" spans="1:15" x14ac:dyDescent="0.3">
      <c r="A879" s="5" t="s">
        <v>995</v>
      </c>
      <c r="B879" s="6">
        <v>45771</v>
      </c>
      <c r="C879" s="5" t="s">
        <v>941</v>
      </c>
      <c r="D879" s="5" t="s">
        <v>54</v>
      </c>
      <c r="E879" s="5" t="s">
        <v>87</v>
      </c>
      <c r="F879" s="5" t="s">
        <v>88</v>
      </c>
      <c r="G879" s="5" t="s">
        <v>89</v>
      </c>
      <c r="H879" s="5" t="s">
        <v>25</v>
      </c>
      <c r="I879" s="14">
        <v>11895.2</v>
      </c>
      <c r="J879" s="7">
        <v>0</v>
      </c>
      <c r="K879" s="5" t="s">
        <v>19</v>
      </c>
      <c r="L879" s="5" t="s">
        <v>27</v>
      </c>
      <c r="M879" s="17" t="str">
        <f t="shared" si="39"/>
        <v>0</v>
      </c>
      <c r="N879" s="15">
        <f t="shared" si="40"/>
        <v>11895.2</v>
      </c>
      <c r="O879" t="str">
        <f t="shared" si="41"/>
        <v>Yes</v>
      </c>
    </row>
    <row r="880" spans="1:15" x14ac:dyDescent="0.3">
      <c r="A880" s="2" t="s">
        <v>996</v>
      </c>
      <c r="B880" s="3">
        <v>45772</v>
      </c>
      <c r="C880" s="2" t="s">
        <v>941</v>
      </c>
      <c r="D880" s="2" t="s">
        <v>14</v>
      </c>
      <c r="E880" s="2" t="s">
        <v>49</v>
      </c>
      <c r="F880" s="2" t="s">
        <v>77</v>
      </c>
      <c r="G880" s="2" t="s">
        <v>78</v>
      </c>
      <c r="H880" s="2" t="s">
        <v>52</v>
      </c>
      <c r="I880" s="12">
        <v>2955.02</v>
      </c>
      <c r="J880" s="4">
        <v>3500</v>
      </c>
      <c r="K880" s="2" t="s">
        <v>47</v>
      </c>
      <c r="L880" s="2" t="s">
        <v>20</v>
      </c>
      <c r="M880" s="17">
        <f t="shared" si="39"/>
        <v>-544.98</v>
      </c>
      <c r="N880" s="15">
        <f t="shared" si="40"/>
        <v>-2955.02</v>
      </c>
      <c r="O880" t="str">
        <f t="shared" si="41"/>
        <v>No</v>
      </c>
    </row>
    <row r="881" spans="1:15" x14ac:dyDescent="0.3">
      <c r="A881" s="5" t="s">
        <v>997</v>
      </c>
      <c r="B881" s="6">
        <v>45772</v>
      </c>
      <c r="C881" s="5" t="s">
        <v>941</v>
      </c>
      <c r="D881" s="5" t="s">
        <v>14</v>
      </c>
      <c r="E881" s="5" t="s">
        <v>29</v>
      </c>
      <c r="F881" s="5" t="s">
        <v>80</v>
      </c>
      <c r="G881" s="5" t="s">
        <v>81</v>
      </c>
      <c r="H881" s="5" t="s">
        <v>52</v>
      </c>
      <c r="I881" s="14">
        <v>2983.65</v>
      </c>
      <c r="J881" s="7">
        <v>3000</v>
      </c>
      <c r="K881" s="5" t="s">
        <v>47</v>
      </c>
      <c r="L881" s="5" t="s">
        <v>20</v>
      </c>
      <c r="M881" s="17">
        <f t="shared" si="39"/>
        <v>-16.349999999999909</v>
      </c>
      <c r="N881" s="15">
        <f t="shared" si="40"/>
        <v>-2983.65</v>
      </c>
      <c r="O881" t="str">
        <f t="shared" si="41"/>
        <v>No</v>
      </c>
    </row>
    <row r="882" spans="1:15" x14ac:dyDescent="0.3">
      <c r="A882" s="2" t="s">
        <v>998</v>
      </c>
      <c r="B882" s="3">
        <v>45773</v>
      </c>
      <c r="C882" s="2" t="s">
        <v>941</v>
      </c>
      <c r="D882" s="2" t="s">
        <v>14</v>
      </c>
      <c r="E882" s="2" t="s">
        <v>104</v>
      </c>
      <c r="F882" s="2" t="s">
        <v>184</v>
      </c>
      <c r="G882" s="2" t="s">
        <v>185</v>
      </c>
      <c r="H882" s="2" t="s">
        <v>52</v>
      </c>
      <c r="I882" s="12">
        <v>2580</v>
      </c>
      <c r="J882" s="4">
        <v>2000</v>
      </c>
      <c r="K882" s="2" t="s">
        <v>47</v>
      </c>
      <c r="L882" s="2" t="s">
        <v>27</v>
      </c>
      <c r="M882" s="17">
        <f t="shared" si="39"/>
        <v>580</v>
      </c>
      <c r="N882" s="15">
        <f t="shared" si="40"/>
        <v>-2580</v>
      </c>
      <c r="O882" t="str">
        <f t="shared" si="41"/>
        <v>Yes</v>
      </c>
    </row>
    <row r="883" spans="1:15" x14ac:dyDescent="0.3">
      <c r="A883" s="5" t="s">
        <v>999</v>
      </c>
      <c r="B883" s="6">
        <v>45774</v>
      </c>
      <c r="C883" s="5" t="s">
        <v>941</v>
      </c>
      <c r="D883" s="5" t="s">
        <v>14</v>
      </c>
      <c r="E883" s="5" t="s">
        <v>40</v>
      </c>
      <c r="F883" s="5" t="s">
        <v>97</v>
      </c>
      <c r="G883" s="5" t="s">
        <v>98</v>
      </c>
      <c r="H883" s="5" t="s">
        <v>52</v>
      </c>
      <c r="I883" s="14">
        <v>3099.87</v>
      </c>
      <c r="J883" s="7">
        <v>6000</v>
      </c>
      <c r="K883" s="5" t="s">
        <v>38</v>
      </c>
      <c r="L883" s="5" t="s">
        <v>27</v>
      </c>
      <c r="M883" s="17">
        <f t="shared" si="39"/>
        <v>-2900.13</v>
      </c>
      <c r="N883" s="15">
        <f t="shared" si="40"/>
        <v>-3099.87</v>
      </c>
      <c r="O883" t="str">
        <f t="shared" si="41"/>
        <v>No</v>
      </c>
    </row>
    <row r="884" spans="1:15" x14ac:dyDescent="0.3">
      <c r="A884" s="2" t="s">
        <v>1000</v>
      </c>
      <c r="B884" s="3">
        <v>45774</v>
      </c>
      <c r="C884" s="2" t="s">
        <v>941</v>
      </c>
      <c r="D884" s="2" t="s">
        <v>14</v>
      </c>
      <c r="E884" s="2" t="s">
        <v>44</v>
      </c>
      <c r="F884" s="2" t="s">
        <v>45</v>
      </c>
      <c r="G884" s="2" t="s">
        <v>46</v>
      </c>
      <c r="H884" s="2" t="s">
        <v>37</v>
      </c>
      <c r="I884" s="12">
        <v>11522.4</v>
      </c>
      <c r="J884" s="4">
        <v>15000</v>
      </c>
      <c r="K884" s="2" t="s">
        <v>38</v>
      </c>
      <c r="L884" s="2" t="s">
        <v>20</v>
      </c>
      <c r="M884" s="17">
        <f t="shared" si="39"/>
        <v>-3477.6000000000004</v>
      </c>
      <c r="N884" s="15">
        <f t="shared" si="40"/>
        <v>-11522.4</v>
      </c>
      <c r="O884" t="str">
        <f t="shared" si="41"/>
        <v>No</v>
      </c>
    </row>
    <row r="885" spans="1:15" x14ac:dyDescent="0.3">
      <c r="A885" s="5" t="s">
        <v>1001</v>
      </c>
      <c r="B885" s="6">
        <v>45774</v>
      </c>
      <c r="C885" s="5" t="s">
        <v>941</v>
      </c>
      <c r="D885" s="5" t="s">
        <v>14</v>
      </c>
      <c r="E885" s="5" t="s">
        <v>104</v>
      </c>
      <c r="F885" s="5" t="s">
        <v>184</v>
      </c>
      <c r="G885" s="5" t="s">
        <v>185</v>
      </c>
      <c r="H885" s="5" t="s">
        <v>25</v>
      </c>
      <c r="I885" s="14">
        <v>1260.71</v>
      </c>
      <c r="J885" s="7">
        <v>2000</v>
      </c>
      <c r="K885" s="5" t="s">
        <v>47</v>
      </c>
      <c r="L885" s="5" t="s">
        <v>27</v>
      </c>
      <c r="M885" s="17">
        <f t="shared" si="39"/>
        <v>-739.29</v>
      </c>
      <c r="N885" s="15">
        <f t="shared" si="40"/>
        <v>-1260.71</v>
      </c>
      <c r="O885" t="str">
        <f t="shared" si="41"/>
        <v>No</v>
      </c>
    </row>
    <row r="886" spans="1:15" x14ac:dyDescent="0.3">
      <c r="A886" s="2" t="s">
        <v>1002</v>
      </c>
      <c r="B886" s="3">
        <v>45775</v>
      </c>
      <c r="C886" s="2" t="s">
        <v>941</v>
      </c>
      <c r="D886" s="2" t="s">
        <v>14</v>
      </c>
      <c r="E886" s="2" t="s">
        <v>34</v>
      </c>
      <c r="F886" s="2" t="s">
        <v>35</v>
      </c>
      <c r="G886" s="2" t="s">
        <v>36</v>
      </c>
      <c r="H886" s="2" t="s">
        <v>25</v>
      </c>
      <c r="I886" s="12">
        <v>5123.99</v>
      </c>
      <c r="J886" s="4">
        <v>4000</v>
      </c>
      <c r="K886" s="2" t="s">
        <v>19</v>
      </c>
      <c r="L886" s="2" t="s">
        <v>27</v>
      </c>
      <c r="M886" s="17">
        <f t="shared" si="39"/>
        <v>1123.9899999999998</v>
      </c>
      <c r="N886" s="15">
        <f t="shared" si="40"/>
        <v>-5123.99</v>
      </c>
      <c r="O886" t="str">
        <f t="shared" si="41"/>
        <v>Yes</v>
      </c>
    </row>
    <row r="887" spans="1:15" x14ac:dyDescent="0.3">
      <c r="A887" s="5" t="s">
        <v>1003</v>
      </c>
      <c r="B887" s="6">
        <v>45776</v>
      </c>
      <c r="C887" s="5" t="s">
        <v>941</v>
      </c>
      <c r="D887" s="5" t="s">
        <v>14</v>
      </c>
      <c r="E887" s="5" t="s">
        <v>22</v>
      </c>
      <c r="F887" s="5" t="s">
        <v>66</v>
      </c>
      <c r="G887" s="5" t="s">
        <v>67</v>
      </c>
      <c r="H887" s="5" t="s">
        <v>18</v>
      </c>
      <c r="I887" s="14">
        <v>2042.49</v>
      </c>
      <c r="J887" s="7">
        <v>2500</v>
      </c>
      <c r="K887" s="5" t="s">
        <v>19</v>
      </c>
      <c r="L887" s="5" t="s">
        <v>27</v>
      </c>
      <c r="M887" s="17">
        <f t="shared" si="39"/>
        <v>-457.51</v>
      </c>
      <c r="N887" s="15">
        <f t="shared" si="40"/>
        <v>-2042.49</v>
      </c>
      <c r="O887" t="str">
        <f t="shared" si="41"/>
        <v>No</v>
      </c>
    </row>
    <row r="888" spans="1:15" x14ac:dyDescent="0.3">
      <c r="A888" s="2" t="s">
        <v>1004</v>
      </c>
      <c r="B888" s="3">
        <v>45777</v>
      </c>
      <c r="C888" s="2" t="s">
        <v>941</v>
      </c>
      <c r="D888" s="2" t="s">
        <v>14</v>
      </c>
      <c r="E888" s="2" t="s">
        <v>112</v>
      </c>
      <c r="F888" s="2" t="s">
        <v>113</v>
      </c>
      <c r="G888" s="2" t="s">
        <v>114</v>
      </c>
      <c r="H888" s="2" t="s">
        <v>37</v>
      </c>
      <c r="I888" s="12">
        <v>8976.82</v>
      </c>
      <c r="J888" s="4">
        <v>8000</v>
      </c>
      <c r="K888" s="2" t="s">
        <v>26</v>
      </c>
      <c r="L888" s="2" t="s">
        <v>20</v>
      </c>
      <c r="M888" s="17">
        <f t="shared" si="39"/>
        <v>976.81999999999971</v>
      </c>
      <c r="N888" s="15">
        <f t="shared" si="40"/>
        <v>-8976.82</v>
      </c>
      <c r="O888" t="str">
        <f t="shared" si="41"/>
        <v>Yes</v>
      </c>
    </row>
    <row r="889" spans="1:15" x14ac:dyDescent="0.3">
      <c r="A889" s="5" t="s">
        <v>1005</v>
      </c>
      <c r="B889" s="6">
        <v>45777</v>
      </c>
      <c r="C889" s="5" t="s">
        <v>941</v>
      </c>
      <c r="D889" s="5" t="s">
        <v>14</v>
      </c>
      <c r="E889" s="5" t="s">
        <v>15</v>
      </c>
      <c r="F889" s="5" t="s">
        <v>83</v>
      </c>
      <c r="G889" s="5" t="s">
        <v>84</v>
      </c>
      <c r="H889" s="5" t="s">
        <v>37</v>
      </c>
      <c r="I889" s="14">
        <v>11792.67</v>
      </c>
      <c r="J889" s="7">
        <v>12000</v>
      </c>
      <c r="K889" s="5" t="s">
        <v>47</v>
      </c>
      <c r="L889" s="5" t="s">
        <v>20</v>
      </c>
      <c r="M889" s="17">
        <f t="shared" si="39"/>
        <v>-207.32999999999993</v>
      </c>
      <c r="N889" s="15">
        <f t="shared" si="40"/>
        <v>-11792.67</v>
      </c>
      <c r="O889" t="str">
        <f t="shared" si="41"/>
        <v>No</v>
      </c>
    </row>
    <row r="890" spans="1:15" x14ac:dyDescent="0.3">
      <c r="A890" s="2" t="s">
        <v>1006</v>
      </c>
      <c r="B890" s="3">
        <v>45777</v>
      </c>
      <c r="C890" s="2" t="s">
        <v>941</v>
      </c>
      <c r="D890" s="2" t="s">
        <v>14</v>
      </c>
      <c r="E890" s="2" t="s">
        <v>104</v>
      </c>
      <c r="F890" s="2" t="s">
        <v>105</v>
      </c>
      <c r="G890" s="2" t="s">
        <v>106</v>
      </c>
      <c r="H890" s="2" t="s">
        <v>32</v>
      </c>
      <c r="I890" s="12">
        <v>2131.14</v>
      </c>
      <c r="J890" s="4">
        <v>2000</v>
      </c>
      <c r="K890" s="2" t="s">
        <v>38</v>
      </c>
      <c r="L890" s="2" t="s">
        <v>27</v>
      </c>
      <c r="M890" s="17">
        <f t="shared" si="39"/>
        <v>131.13999999999987</v>
      </c>
      <c r="N890" s="15">
        <f t="shared" si="40"/>
        <v>-2131.14</v>
      </c>
      <c r="O890" t="str">
        <f t="shared" si="41"/>
        <v>Yes</v>
      </c>
    </row>
    <row r="891" spans="1:15" x14ac:dyDescent="0.3">
      <c r="A891" s="5" t="s">
        <v>1007</v>
      </c>
      <c r="B891" s="6">
        <v>45778</v>
      </c>
      <c r="C891" s="5" t="s">
        <v>1008</v>
      </c>
      <c r="D891" s="5" t="s">
        <v>54</v>
      </c>
      <c r="E891" s="5" t="s">
        <v>55</v>
      </c>
      <c r="F891" s="5" t="s">
        <v>56</v>
      </c>
      <c r="G891" s="5" t="s">
        <v>57</v>
      </c>
      <c r="H891" s="5" t="s">
        <v>52</v>
      </c>
      <c r="I891" s="14">
        <v>52285.45</v>
      </c>
      <c r="J891" s="7">
        <v>0</v>
      </c>
      <c r="K891" s="5" t="s">
        <v>38</v>
      </c>
      <c r="L891" s="5" t="s">
        <v>20</v>
      </c>
      <c r="M891" s="17" t="str">
        <f t="shared" si="39"/>
        <v>0</v>
      </c>
      <c r="N891" s="15">
        <f t="shared" si="40"/>
        <v>52285.45</v>
      </c>
      <c r="O891" t="str">
        <f t="shared" si="41"/>
        <v>Yes</v>
      </c>
    </row>
    <row r="892" spans="1:15" x14ac:dyDescent="0.3">
      <c r="A892" s="2" t="s">
        <v>1009</v>
      </c>
      <c r="B892" s="3">
        <v>45778</v>
      </c>
      <c r="C892" s="2" t="s">
        <v>1008</v>
      </c>
      <c r="D892" s="2" t="s">
        <v>14</v>
      </c>
      <c r="E892" s="2" t="s">
        <v>40</v>
      </c>
      <c r="F892" s="2" t="s">
        <v>97</v>
      </c>
      <c r="G892" s="2" t="s">
        <v>98</v>
      </c>
      <c r="H892" s="2" t="s">
        <v>25</v>
      </c>
      <c r="I892" s="12">
        <v>7092.9</v>
      </c>
      <c r="J892" s="4">
        <v>6000</v>
      </c>
      <c r="K892" s="2" t="s">
        <v>38</v>
      </c>
      <c r="L892" s="2" t="s">
        <v>20</v>
      </c>
      <c r="M892" s="17">
        <f t="shared" si="39"/>
        <v>1092.8999999999996</v>
      </c>
      <c r="N892" s="15">
        <f t="shared" si="40"/>
        <v>-7092.9</v>
      </c>
      <c r="O892" t="str">
        <f t="shared" si="41"/>
        <v>Yes</v>
      </c>
    </row>
    <row r="893" spans="1:15" x14ac:dyDescent="0.3">
      <c r="A893" s="5" t="s">
        <v>1010</v>
      </c>
      <c r="B893" s="6">
        <v>45778</v>
      </c>
      <c r="C893" s="5" t="s">
        <v>1008</v>
      </c>
      <c r="D893" s="5" t="s">
        <v>14</v>
      </c>
      <c r="E893" s="5" t="s">
        <v>29</v>
      </c>
      <c r="F893" s="5" t="s">
        <v>109</v>
      </c>
      <c r="G893" s="5" t="s">
        <v>110</v>
      </c>
      <c r="H893" s="5" t="s">
        <v>18</v>
      </c>
      <c r="I893" s="14">
        <v>3435.94</v>
      </c>
      <c r="J893" s="7">
        <v>3000</v>
      </c>
      <c r="K893" s="5" t="s">
        <v>47</v>
      </c>
      <c r="L893" s="5" t="s">
        <v>20</v>
      </c>
      <c r="M893" s="17">
        <f t="shared" si="39"/>
        <v>435.94000000000005</v>
      </c>
      <c r="N893" s="15">
        <f t="shared" si="40"/>
        <v>-3435.94</v>
      </c>
      <c r="O893" t="str">
        <f t="shared" si="41"/>
        <v>Yes</v>
      </c>
    </row>
    <row r="894" spans="1:15" x14ac:dyDescent="0.3">
      <c r="A894" s="2" t="s">
        <v>1011</v>
      </c>
      <c r="B894" s="3">
        <v>45778</v>
      </c>
      <c r="C894" s="2" t="s">
        <v>1008</v>
      </c>
      <c r="D894" s="2" t="s">
        <v>54</v>
      </c>
      <c r="E894" s="2" t="s">
        <v>55</v>
      </c>
      <c r="F894" s="2" t="s">
        <v>56</v>
      </c>
      <c r="G894" s="2" t="s">
        <v>57</v>
      </c>
      <c r="H894" s="2" t="s">
        <v>37</v>
      </c>
      <c r="I894" s="12">
        <v>54864.33</v>
      </c>
      <c r="J894" s="4">
        <v>0</v>
      </c>
      <c r="K894" s="2" t="s">
        <v>19</v>
      </c>
      <c r="L894" s="2" t="s">
        <v>20</v>
      </c>
      <c r="M894" s="17" t="str">
        <f t="shared" si="39"/>
        <v>0</v>
      </c>
      <c r="N894" s="15">
        <f t="shared" si="40"/>
        <v>54864.33</v>
      </c>
      <c r="O894" t="str">
        <f t="shared" si="41"/>
        <v>Yes</v>
      </c>
    </row>
    <row r="895" spans="1:15" x14ac:dyDescent="0.3">
      <c r="A895" s="5" t="s">
        <v>1012</v>
      </c>
      <c r="B895" s="6">
        <v>45779</v>
      </c>
      <c r="C895" s="5" t="s">
        <v>1008</v>
      </c>
      <c r="D895" s="5" t="s">
        <v>14</v>
      </c>
      <c r="E895" s="5" t="s">
        <v>34</v>
      </c>
      <c r="F895" s="5" t="s">
        <v>94</v>
      </c>
      <c r="G895" s="5" t="s">
        <v>95</v>
      </c>
      <c r="H895" s="5" t="s">
        <v>52</v>
      </c>
      <c r="I895" s="14">
        <v>5009.78</v>
      </c>
      <c r="J895" s="7">
        <v>4000</v>
      </c>
      <c r="K895" s="5" t="s">
        <v>19</v>
      </c>
      <c r="L895" s="5" t="s">
        <v>20</v>
      </c>
      <c r="M895" s="17">
        <f t="shared" si="39"/>
        <v>1009.7799999999997</v>
      </c>
      <c r="N895" s="15">
        <f t="shared" si="40"/>
        <v>-5009.78</v>
      </c>
      <c r="O895" t="str">
        <f t="shared" si="41"/>
        <v>Yes</v>
      </c>
    </row>
    <row r="896" spans="1:15" x14ac:dyDescent="0.3">
      <c r="A896" s="2" t="s">
        <v>1013</v>
      </c>
      <c r="B896" s="3">
        <v>45779</v>
      </c>
      <c r="C896" s="2" t="s">
        <v>1008</v>
      </c>
      <c r="D896" s="2" t="s">
        <v>14</v>
      </c>
      <c r="E896" s="2" t="s">
        <v>104</v>
      </c>
      <c r="F896" s="2" t="s">
        <v>163</v>
      </c>
      <c r="G896" s="2" t="s">
        <v>164</v>
      </c>
      <c r="H896" s="2" t="s">
        <v>37</v>
      </c>
      <c r="I896" s="12">
        <v>1880.42</v>
      </c>
      <c r="J896" s="4">
        <v>2000</v>
      </c>
      <c r="K896" s="2" t="s">
        <v>47</v>
      </c>
      <c r="L896" s="2" t="s">
        <v>27</v>
      </c>
      <c r="M896" s="17">
        <f t="shared" si="39"/>
        <v>-119.57999999999993</v>
      </c>
      <c r="N896" s="15">
        <f t="shared" si="40"/>
        <v>-1880.42</v>
      </c>
      <c r="O896" t="str">
        <f t="shared" si="41"/>
        <v>No</v>
      </c>
    </row>
    <row r="897" spans="1:15" x14ac:dyDescent="0.3">
      <c r="A897" s="5" t="s">
        <v>1014</v>
      </c>
      <c r="B897" s="6">
        <v>45781</v>
      </c>
      <c r="C897" s="5" t="s">
        <v>1008</v>
      </c>
      <c r="D897" s="5" t="s">
        <v>14</v>
      </c>
      <c r="E897" s="5" t="s">
        <v>49</v>
      </c>
      <c r="F897" s="5" t="s">
        <v>50</v>
      </c>
      <c r="G897" s="5" t="s">
        <v>51</v>
      </c>
      <c r="H897" s="5" t="s">
        <v>52</v>
      </c>
      <c r="I897" s="14">
        <v>2894.8</v>
      </c>
      <c r="J897" s="7">
        <v>3500</v>
      </c>
      <c r="K897" s="5" t="s">
        <v>38</v>
      </c>
      <c r="L897" s="5" t="s">
        <v>27</v>
      </c>
      <c r="M897" s="17">
        <f t="shared" si="39"/>
        <v>-605.19999999999982</v>
      </c>
      <c r="N897" s="15">
        <f t="shared" si="40"/>
        <v>-2894.8</v>
      </c>
      <c r="O897" t="str">
        <f t="shared" si="41"/>
        <v>No</v>
      </c>
    </row>
    <row r="898" spans="1:15" x14ac:dyDescent="0.3">
      <c r="A898" s="2" t="s">
        <v>1015</v>
      </c>
      <c r="B898" s="3">
        <v>45782</v>
      </c>
      <c r="C898" s="2" t="s">
        <v>1008</v>
      </c>
      <c r="D898" s="2" t="s">
        <v>14</v>
      </c>
      <c r="E898" s="2" t="s">
        <v>49</v>
      </c>
      <c r="F898" s="2" t="s">
        <v>77</v>
      </c>
      <c r="G898" s="2" t="s">
        <v>78</v>
      </c>
      <c r="H898" s="2" t="s">
        <v>37</v>
      </c>
      <c r="I898" s="12">
        <v>4139.93</v>
      </c>
      <c r="J898" s="4">
        <v>3500</v>
      </c>
      <c r="K898" s="2" t="s">
        <v>19</v>
      </c>
      <c r="L898" s="2" t="s">
        <v>27</v>
      </c>
      <c r="M898" s="17">
        <f t="shared" si="39"/>
        <v>639.93000000000029</v>
      </c>
      <c r="N898" s="15">
        <f t="shared" si="40"/>
        <v>-4139.93</v>
      </c>
      <c r="O898" t="str">
        <f t="shared" si="41"/>
        <v>Yes</v>
      </c>
    </row>
    <row r="899" spans="1:15" x14ac:dyDescent="0.3">
      <c r="A899" s="5" t="s">
        <v>1016</v>
      </c>
      <c r="B899" s="6">
        <v>45783</v>
      </c>
      <c r="C899" s="5" t="s">
        <v>1008</v>
      </c>
      <c r="D899" s="5" t="s">
        <v>14</v>
      </c>
      <c r="E899" s="5" t="s">
        <v>15</v>
      </c>
      <c r="F899" s="5" t="s">
        <v>60</v>
      </c>
      <c r="G899" s="5" t="s">
        <v>61</v>
      </c>
      <c r="H899" s="5" t="s">
        <v>25</v>
      </c>
      <c r="I899" s="14">
        <v>12271.86</v>
      </c>
      <c r="J899" s="7">
        <v>12000</v>
      </c>
      <c r="K899" s="5" t="s">
        <v>38</v>
      </c>
      <c r="L899" s="5" t="s">
        <v>20</v>
      </c>
      <c r="M899" s="17">
        <f t="shared" ref="M899:M962" si="42">IF(J899=0,"0",I899-J899)</f>
        <v>271.86000000000058</v>
      </c>
      <c r="N899" s="15">
        <f t="shared" ref="N899:N962" si="43">IF(D899="Income",I899,-I899)</f>
        <v>-12271.86</v>
      </c>
      <c r="O899" t="str">
        <f t="shared" ref="O899:O962" si="44">IF(M899&gt;0,"Yes","No")</f>
        <v>Yes</v>
      </c>
    </row>
    <row r="900" spans="1:15" x14ac:dyDescent="0.3">
      <c r="A900" s="2" t="s">
        <v>1017</v>
      </c>
      <c r="B900" s="3">
        <v>45783</v>
      </c>
      <c r="C900" s="2" t="s">
        <v>1008</v>
      </c>
      <c r="D900" s="2" t="s">
        <v>14</v>
      </c>
      <c r="E900" s="2" t="s">
        <v>44</v>
      </c>
      <c r="F900" s="2" t="s">
        <v>45</v>
      </c>
      <c r="G900" s="2" t="s">
        <v>46</v>
      </c>
      <c r="H900" s="2" t="s">
        <v>32</v>
      </c>
      <c r="I900" s="12">
        <v>14743.84</v>
      </c>
      <c r="J900" s="4">
        <v>15000</v>
      </c>
      <c r="K900" s="2" t="s">
        <v>19</v>
      </c>
      <c r="L900" s="2" t="s">
        <v>20</v>
      </c>
      <c r="M900" s="17">
        <f t="shared" si="42"/>
        <v>-256.15999999999985</v>
      </c>
      <c r="N900" s="15">
        <f t="shared" si="43"/>
        <v>-14743.84</v>
      </c>
      <c r="O900" t="str">
        <f t="shared" si="44"/>
        <v>No</v>
      </c>
    </row>
    <row r="901" spans="1:15" x14ac:dyDescent="0.3">
      <c r="A901" s="5" t="s">
        <v>1018</v>
      </c>
      <c r="B901" s="6">
        <v>45784</v>
      </c>
      <c r="C901" s="5" t="s">
        <v>1008</v>
      </c>
      <c r="D901" s="5" t="s">
        <v>14</v>
      </c>
      <c r="E901" s="5" t="s">
        <v>34</v>
      </c>
      <c r="F901" s="5" t="s">
        <v>94</v>
      </c>
      <c r="G901" s="5" t="s">
        <v>95</v>
      </c>
      <c r="H901" s="5" t="s">
        <v>25</v>
      </c>
      <c r="I901" s="14">
        <v>2521.8000000000002</v>
      </c>
      <c r="J901" s="7">
        <v>4000</v>
      </c>
      <c r="K901" s="5" t="s">
        <v>47</v>
      </c>
      <c r="L901" s="5" t="s">
        <v>27</v>
      </c>
      <c r="M901" s="17">
        <f t="shared" si="42"/>
        <v>-1478.1999999999998</v>
      </c>
      <c r="N901" s="15">
        <f t="shared" si="43"/>
        <v>-2521.8000000000002</v>
      </c>
      <c r="O901" t="str">
        <f t="shared" si="44"/>
        <v>No</v>
      </c>
    </row>
    <row r="902" spans="1:15" x14ac:dyDescent="0.3">
      <c r="A902" s="2" t="s">
        <v>1019</v>
      </c>
      <c r="B902" s="3">
        <v>45784</v>
      </c>
      <c r="C902" s="2" t="s">
        <v>1008</v>
      </c>
      <c r="D902" s="2" t="s">
        <v>14</v>
      </c>
      <c r="E902" s="2" t="s">
        <v>40</v>
      </c>
      <c r="F902" s="2" t="s">
        <v>41</v>
      </c>
      <c r="G902" s="2" t="s">
        <v>42</v>
      </c>
      <c r="H902" s="2" t="s">
        <v>37</v>
      </c>
      <c r="I902" s="12">
        <v>4857.6499999999996</v>
      </c>
      <c r="J902" s="4">
        <v>6000</v>
      </c>
      <c r="K902" s="2" t="s">
        <v>47</v>
      </c>
      <c r="L902" s="2" t="s">
        <v>27</v>
      </c>
      <c r="M902" s="17">
        <f t="shared" si="42"/>
        <v>-1142.3500000000004</v>
      </c>
      <c r="N902" s="15">
        <f t="shared" si="43"/>
        <v>-4857.6499999999996</v>
      </c>
      <c r="O902" t="str">
        <f t="shared" si="44"/>
        <v>No</v>
      </c>
    </row>
    <row r="903" spans="1:15" x14ac:dyDescent="0.3">
      <c r="A903" s="5" t="s">
        <v>1020</v>
      </c>
      <c r="B903" s="6">
        <v>45785</v>
      </c>
      <c r="C903" s="5" t="s">
        <v>1008</v>
      </c>
      <c r="D903" s="5" t="s">
        <v>14</v>
      </c>
      <c r="E903" s="5" t="s">
        <v>40</v>
      </c>
      <c r="F903" s="5" t="s">
        <v>41</v>
      </c>
      <c r="G903" s="5" t="s">
        <v>42</v>
      </c>
      <c r="H903" s="5" t="s">
        <v>52</v>
      </c>
      <c r="I903" s="14">
        <v>4611.8900000000003</v>
      </c>
      <c r="J903" s="7">
        <v>6000</v>
      </c>
      <c r="K903" s="5" t="s">
        <v>47</v>
      </c>
      <c r="L903" s="5" t="s">
        <v>27</v>
      </c>
      <c r="M903" s="17">
        <f t="shared" si="42"/>
        <v>-1388.1099999999997</v>
      </c>
      <c r="N903" s="15">
        <f t="shared" si="43"/>
        <v>-4611.8900000000003</v>
      </c>
      <c r="O903" t="str">
        <f t="shared" si="44"/>
        <v>No</v>
      </c>
    </row>
    <row r="904" spans="1:15" x14ac:dyDescent="0.3">
      <c r="A904" s="2" t="s">
        <v>1021</v>
      </c>
      <c r="B904" s="3">
        <v>45785</v>
      </c>
      <c r="C904" s="2" t="s">
        <v>1008</v>
      </c>
      <c r="D904" s="2" t="s">
        <v>54</v>
      </c>
      <c r="E904" s="2" t="s">
        <v>87</v>
      </c>
      <c r="F904" s="2" t="s">
        <v>176</v>
      </c>
      <c r="G904" s="2" t="s">
        <v>177</v>
      </c>
      <c r="H904" s="2" t="s">
        <v>25</v>
      </c>
      <c r="I904" s="12">
        <v>13571.92</v>
      </c>
      <c r="J904" s="4">
        <v>0</v>
      </c>
      <c r="K904" s="2" t="s">
        <v>47</v>
      </c>
      <c r="L904" s="2" t="s">
        <v>20</v>
      </c>
      <c r="M904" s="17" t="str">
        <f t="shared" si="42"/>
        <v>0</v>
      </c>
      <c r="N904" s="15">
        <f t="shared" si="43"/>
        <v>13571.92</v>
      </c>
      <c r="O904" t="str">
        <f t="shared" si="44"/>
        <v>Yes</v>
      </c>
    </row>
    <row r="905" spans="1:15" x14ac:dyDescent="0.3">
      <c r="A905" s="5" t="s">
        <v>1022</v>
      </c>
      <c r="B905" s="6">
        <v>45785</v>
      </c>
      <c r="C905" s="5" t="s">
        <v>1008</v>
      </c>
      <c r="D905" s="5" t="s">
        <v>14</v>
      </c>
      <c r="E905" s="5" t="s">
        <v>15</v>
      </c>
      <c r="F905" s="5" t="s">
        <v>60</v>
      </c>
      <c r="G905" s="5" t="s">
        <v>61</v>
      </c>
      <c r="H905" s="5" t="s">
        <v>52</v>
      </c>
      <c r="I905" s="14">
        <v>9485.02</v>
      </c>
      <c r="J905" s="7">
        <v>12000</v>
      </c>
      <c r="K905" s="5" t="s">
        <v>47</v>
      </c>
      <c r="L905" s="5" t="s">
        <v>20</v>
      </c>
      <c r="M905" s="17">
        <f t="shared" si="42"/>
        <v>-2514.9799999999996</v>
      </c>
      <c r="N905" s="15">
        <f t="shared" si="43"/>
        <v>-9485.02</v>
      </c>
      <c r="O905" t="str">
        <f t="shared" si="44"/>
        <v>No</v>
      </c>
    </row>
    <row r="906" spans="1:15" x14ac:dyDescent="0.3">
      <c r="A906" s="2" t="s">
        <v>1023</v>
      </c>
      <c r="B906" s="3">
        <v>45785</v>
      </c>
      <c r="C906" s="2" t="s">
        <v>1008</v>
      </c>
      <c r="D906" s="2" t="s">
        <v>14</v>
      </c>
      <c r="E906" s="2" t="s">
        <v>44</v>
      </c>
      <c r="F906" s="2" t="s">
        <v>45</v>
      </c>
      <c r="G906" s="2" t="s">
        <v>46</v>
      </c>
      <c r="H906" s="2" t="s">
        <v>52</v>
      </c>
      <c r="I906" s="12">
        <v>9439.9699999999993</v>
      </c>
      <c r="J906" s="4">
        <v>15000</v>
      </c>
      <c r="K906" s="2" t="s">
        <v>26</v>
      </c>
      <c r="L906" s="2" t="s">
        <v>20</v>
      </c>
      <c r="M906" s="17">
        <f t="shared" si="42"/>
        <v>-5560.0300000000007</v>
      </c>
      <c r="N906" s="15">
        <f t="shared" si="43"/>
        <v>-9439.9699999999993</v>
      </c>
      <c r="O906" t="str">
        <f t="shared" si="44"/>
        <v>No</v>
      </c>
    </row>
    <row r="907" spans="1:15" x14ac:dyDescent="0.3">
      <c r="A907" s="5" t="s">
        <v>1024</v>
      </c>
      <c r="B907" s="6">
        <v>45786</v>
      </c>
      <c r="C907" s="5" t="s">
        <v>1008</v>
      </c>
      <c r="D907" s="5" t="s">
        <v>54</v>
      </c>
      <c r="E907" s="5" t="s">
        <v>87</v>
      </c>
      <c r="F907" s="5" t="s">
        <v>176</v>
      </c>
      <c r="G907" s="5" t="s">
        <v>177</v>
      </c>
      <c r="H907" s="5" t="s">
        <v>25</v>
      </c>
      <c r="I907" s="14">
        <v>5041.8999999999996</v>
      </c>
      <c r="J907" s="7">
        <v>0</v>
      </c>
      <c r="K907" s="5" t="s">
        <v>19</v>
      </c>
      <c r="L907" s="5" t="s">
        <v>27</v>
      </c>
      <c r="M907" s="17" t="str">
        <f t="shared" si="42"/>
        <v>0</v>
      </c>
      <c r="N907" s="15">
        <f t="shared" si="43"/>
        <v>5041.8999999999996</v>
      </c>
      <c r="O907" t="str">
        <f t="shared" si="44"/>
        <v>Yes</v>
      </c>
    </row>
    <row r="908" spans="1:15" x14ac:dyDescent="0.3">
      <c r="A908" s="2" t="s">
        <v>1025</v>
      </c>
      <c r="B908" s="3">
        <v>45786</v>
      </c>
      <c r="C908" s="2" t="s">
        <v>1008</v>
      </c>
      <c r="D908" s="2" t="s">
        <v>54</v>
      </c>
      <c r="E908" s="2" t="s">
        <v>55</v>
      </c>
      <c r="F908" s="2" t="s">
        <v>56</v>
      </c>
      <c r="G908" s="2" t="s">
        <v>57</v>
      </c>
      <c r="H908" s="2" t="s">
        <v>37</v>
      </c>
      <c r="I908" s="12">
        <v>51256.15</v>
      </c>
      <c r="J908" s="4">
        <v>0</v>
      </c>
      <c r="K908" s="2" t="s">
        <v>19</v>
      </c>
      <c r="L908" s="2" t="s">
        <v>20</v>
      </c>
      <c r="M908" s="17" t="str">
        <f t="shared" si="42"/>
        <v>0</v>
      </c>
      <c r="N908" s="15">
        <f t="shared" si="43"/>
        <v>51256.15</v>
      </c>
      <c r="O908" t="str">
        <f t="shared" si="44"/>
        <v>Yes</v>
      </c>
    </row>
    <row r="909" spans="1:15" x14ac:dyDescent="0.3">
      <c r="A909" s="5" t="s">
        <v>1026</v>
      </c>
      <c r="B909" s="6">
        <v>45786</v>
      </c>
      <c r="C909" s="5" t="s">
        <v>1008</v>
      </c>
      <c r="D909" s="5" t="s">
        <v>14</v>
      </c>
      <c r="E909" s="5" t="s">
        <v>112</v>
      </c>
      <c r="F909" s="5" t="s">
        <v>193</v>
      </c>
      <c r="G909" s="5" t="s">
        <v>194</v>
      </c>
      <c r="H909" s="5" t="s">
        <v>52</v>
      </c>
      <c r="I909" s="14">
        <v>9460.85</v>
      </c>
      <c r="J909" s="7">
        <v>8000</v>
      </c>
      <c r="K909" s="5" t="s">
        <v>38</v>
      </c>
      <c r="L909" s="5" t="s">
        <v>20</v>
      </c>
      <c r="M909" s="17">
        <f t="shared" si="42"/>
        <v>1460.8500000000004</v>
      </c>
      <c r="N909" s="15">
        <f t="shared" si="43"/>
        <v>-9460.85</v>
      </c>
      <c r="O909" t="str">
        <f t="shared" si="44"/>
        <v>Yes</v>
      </c>
    </row>
    <row r="910" spans="1:15" x14ac:dyDescent="0.3">
      <c r="A910" s="2" t="s">
        <v>1027</v>
      </c>
      <c r="B910" s="3">
        <v>45786</v>
      </c>
      <c r="C910" s="2" t="s">
        <v>1008</v>
      </c>
      <c r="D910" s="2" t="s">
        <v>54</v>
      </c>
      <c r="E910" s="2" t="s">
        <v>55</v>
      </c>
      <c r="F910" s="2" t="s">
        <v>56</v>
      </c>
      <c r="G910" s="2" t="s">
        <v>57</v>
      </c>
      <c r="H910" s="2" t="s">
        <v>25</v>
      </c>
      <c r="I910" s="12">
        <v>45950.23</v>
      </c>
      <c r="J910" s="4">
        <v>0</v>
      </c>
      <c r="K910" s="2" t="s">
        <v>38</v>
      </c>
      <c r="L910" s="2" t="s">
        <v>20</v>
      </c>
      <c r="M910" s="17" t="str">
        <f t="shared" si="42"/>
        <v>0</v>
      </c>
      <c r="N910" s="15">
        <f t="shared" si="43"/>
        <v>45950.23</v>
      </c>
      <c r="O910" t="str">
        <f t="shared" si="44"/>
        <v>Yes</v>
      </c>
    </row>
    <row r="911" spans="1:15" x14ac:dyDescent="0.3">
      <c r="A911" s="5" t="s">
        <v>1028</v>
      </c>
      <c r="B911" s="6">
        <v>45786</v>
      </c>
      <c r="C911" s="5" t="s">
        <v>1008</v>
      </c>
      <c r="D911" s="5" t="s">
        <v>14</v>
      </c>
      <c r="E911" s="5" t="s">
        <v>34</v>
      </c>
      <c r="F911" s="5" t="s">
        <v>35</v>
      </c>
      <c r="G911" s="5" t="s">
        <v>36</v>
      </c>
      <c r="H911" s="5" t="s">
        <v>37</v>
      </c>
      <c r="I911" s="14">
        <v>3806.85</v>
      </c>
      <c r="J911" s="7">
        <v>4000</v>
      </c>
      <c r="K911" s="5" t="s">
        <v>38</v>
      </c>
      <c r="L911" s="5" t="s">
        <v>20</v>
      </c>
      <c r="M911" s="17">
        <f t="shared" si="42"/>
        <v>-193.15000000000009</v>
      </c>
      <c r="N911" s="15">
        <f t="shared" si="43"/>
        <v>-3806.85</v>
      </c>
      <c r="O911" t="str">
        <f t="shared" si="44"/>
        <v>No</v>
      </c>
    </row>
    <row r="912" spans="1:15" x14ac:dyDescent="0.3">
      <c r="A912" s="2" t="s">
        <v>1029</v>
      </c>
      <c r="B912" s="3">
        <v>45787</v>
      </c>
      <c r="C912" s="2" t="s">
        <v>1008</v>
      </c>
      <c r="D912" s="2" t="s">
        <v>14</v>
      </c>
      <c r="E912" s="2" t="s">
        <v>40</v>
      </c>
      <c r="F912" s="2" t="s">
        <v>97</v>
      </c>
      <c r="G912" s="2" t="s">
        <v>98</v>
      </c>
      <c r="H912" s="2" t="s">
        <v>18</v>
      </c>
      <c r="I912" s="12">
        <v>4238.18</v>
      </c>
      <c r="J912" s="4">
        <v>6000</v>
      </c>
      <c r="K912" s="2" t="s">
        <v>38</v>
      </c>
      <c r="L912" s="2" t="s">
        <v>27</v>
      </c>
      <c r="M912" s="17">
        <f t="shared" si="42"/>
        <v>-1761.8199999999997</v>
      </c>
      <c r="N912" s="15">
        <f t="shared" si="43"/>
        <v>-4238.18</v>
      </c>
      <c r="O912" t="str">
        <f t="shared" si="44"/>
        <v>No</v>
      </c>
    </row>
    <row r="913" spans="1:15" x14ac:dyDescent="0.3">
      <c r="A913" s="5" t="s">
        <v>1030</v>
      </c>
      <c r="B913" s="6">
        <v>45789</v>
      </c>
      <c r="C913" s="5" t="s">
        <v>1008</v>
      </c>
      <c r="D913" s="5" t="s">
        <v>14</v>
      </c>
      <c r="E913" s="5" t="s">
        <v>49</v>
      </c>
      <c r="F913" s="5" t="s">
        <v>77</v>
      </c>
      <c r="G913" s="5" t="s">
        <v>78</v>
      </c>
      <c r="H913" s="5" t="s">
        <v>37</v>
      </c>
      <c r="I913" s="14">
        <v>4116.97</v>
      </c>
      <c r="J913" s="7">
        <v>3500</v>
      </c>
      <c r="K913" s="5" t="s">
        <v>38</v>
      </c>
      <c r="L913" s="5" t="s">
        <v>27</v>
      </c>
      <c r="M913" s="17">
        <f t="shared" si="42"/>
        <v>616.97000000000025</v>
      </c>
      <c r="N913" s="15">
        <f t="shared" si="43"/>
        <v>-4116.97</v>
      </c>
      <c r="O913" t="str">
        <f t="shared" si="44"/>
        <v>Yes</v>
      </c>
    </row>
    <row r="914" spans="1:15" x14ac:dyDescent="0.3">
      <c r="A914" s="2" t="s">
        <v>1031</v>
      </c>
      <c r="B914" s="3">
        <v>45789</v>
      </c>
      <c r="C914" s="2" t="s">
        <v>1008</v>
      </c>
      <c r="D914" s="2" t="s">
        <v>14</v>
      </c>
      <c r="E914" s="2" t="s">
        <v>49</v>
      </c>
      <c r="F914" s="2" t="s">
        <v>50</v>
      </c>
      <c r="G914" s="2" t="s">
        <v>51</v>
      </c>
      <c r="H914" s="2" t="s">
        <v>52</v>
      </c>
      <c r="I914" s="12">
        <v>2924.58</v>
      </c>
      <c r="J914" s="4">
        <v>3500</v>
      </c>
      <c r="K914" s="2" t="s">
        <v>26</v>
      </c>
      <c r="L914" s="2" t="s">
        <v>27</v>
      </c>
      <c r="M914" s="17">
        <f t="shared" si="42"/>
        <v>-575.42000000000007</v>
      </c>
      <c r="N914" s="15">
        <f t="shared" si="43"/>
        <v>-2924.58</v>
      </c>
      <c r="O914" t="str">
        <f t="shared" si="44"/>
        <v>No</v>
      </c>
    </row>
    <row r="915" spans="1:15" x14ac:dyDescent="0.3">
      <c r="A915" s="5" t="s">
        <v>1032</v>
      </c>
      <c r="B915" s="6">
        <v>45790</v>
      </c>
      <c r="C915" s="5" t="s">
        <v>1008</v>
      </c>
      <c r="D915" s="5" t="s">
        <v>14</v>
      </c>
      <c r="E915" s="5" t="s">
        <v>40</v>
      </c>
      <c r="F915" s="5" t="s">
        <v>41</v>
      </c>
      <c r="G915" s="5" t="s">
        <v>42</v>
      </c>
      <c r="H915" s="5" t="s">
        <v>37</v>
      </c>
      <c r="I915" s="14">
        <v>7298</v>
      </c>
      <c r="J915" s="7">
        <v>6000</v>
      </c>
      <c r="K915" s="5" t="s">
        <v>19</v>
      </c>
      <c r="L915" s="5" t="s">
        <v>27</v>
      </c>
      <c r="M915" s="17">
        <f t="shared" si="42"/>
        <v>1298</v>
      </c>
      <c r="N915" s="15">
        <f t="shared" si="43"/>
        <v>-7298</v>
      </c>
      <c r="O915" t="str">
        <f t="shared" si="44"/>
        <v>Yes</v>
      </c>
    </row>
    <row r="916" spans="1:15" x14ac:dyDescent="0.3">
      <c r="A916" s="2" t="s">
        <v>1033</v>
      </c>
      <c r="B916" s="3">
        <v>45790</v>
      </c>
      <c r="C916" s="2" t="s">
        <v>1008</v>
      </c>
      <c r="D916" s="2" t="s">
        <v>14</v>
      </c>
      <c r="E916" s="2" t="s">
        <v>40</v>
      </c>
      <c r="F916" s="2" t="s">
        <v>41</v>
      </c>
      <c r="G916" s="2" t="s">
        <v>42</v>
      </c>
      <c r="H916" s="2" t="s">
        <v>25</v>
      </c>
      <c r="I916" s="12">
        <v>4151.3999999999996</v>
      </c>
      <c r="J916" s="4">
        <v>6000</v>
      </c>
      <c r="K916" s="2" t="s">
        <v>19</v>
      </c>
      <c r="L916" s="2" t="s">
        <v>27</v>
      </c>
      <c r="M916" s="17">
        <f t="shared" si="42"/>
        <v>-1848.6000000000004</v>
      </c>
      <c r="N916" s="15">
        <f t="shared" si="43"/>
        <v>-4151.3999999999996</v>
      </c>
      <c r="O916" t="str">
        <f t="shared" si="44"/>
        <v>No</v>
      </c>
    </row>
    <row r="917" spans="1:15" x14ac:dyDescent="0.3">
      <c r="A917" s="5" t="s">
        <v>1034</v>
      </c>
      <c r="B917" s="6">
        <v>45790</v>
      </c>
      <c r="C917" s="5" t="s">
        <v>1008</v>
      </c>
      <c r="D917" s="5" t="s">
        <v>54</v>
      </c>
      <c r="E917" s="5" t="s">
        <v>55</v>
      </c>
      <c r="F917" s="5" t="s">
        <v>56</v>
      </c>
      <c r="G917" s="5" t="s">
        <v>57</v>
      </c>
      <c r="H917" s="5" t="s">
        <v>52</v>
      </c>
      <c r="I917" s="14">
        <v>41346.089999999997</v>
      </c>
      <c r="J917" s="7">
        <v>0</v>
      </c>
      <c r="K917" s="5" t="s">
        <v>47</v>
      </c>
      <c r="L917" s="5" t="s">
        <v>20</v>
      </c>
      <c r="M917" s="17" t="str">
        <f t="shared" si="42"/>
        <v>0</v>
      </c>
      <c r="N917" s="15">
        <f t="shared" si="43"/>
        <v>41346.089999999997</v>
      </c>
      <c r="O917" t="str">
        <f t="shared" si="44"/>
        <v>Yes</v>
      </c>
    </row>
    <row r="918" spans="1:15" x14ac:dyDescent="0.3">
      <c r="A918" s="2" t="s">
        <v>1035</v>
      </c>
      <c r="B918" s="3">
        <v>45790</v>
      </c>
      <c r="C918" s="2" t="s">
        <v>1008</v>
      </c>
      <c r="D918" s="2" t="s">
        <v>14</v>
      </c>
      <c r="E918" s="2" t="s">
        <v>112</v>
      </c>
      <c r="F918" s="2" t="s">
        <v>135</v>
      </c>
      <c r="G918" s="2" t="s">
        <v>136</v>
      </c>
      <c r="H918" s="2" t="s">
        <v>52</v>
      </c>
      <c r="I918" s="12">
        <v>4740.7</v>
      </c>
      <c r="J918" s="4">
        <v>8000</v>
      </c>
      <c r="K918" s="2" t="s">
        <v>26</v>
      </c>
      <c r="L918" s="2" t="s">
        <v>20</v>
      </c>
      <c r="M918" s="17">
        <f t="shared" si="42"/>
        <v>-3259.3</v>
      </c>
      <c r="N918" s="15">
        <f t="shared" si="43"/>
        <v>-4740.7</v>
      </c>
      <c r="O918" t="str">
        <f t="shared" si="44"/>
        <v>No</v>
      </c>
    </row>
    <row r="919" spans="1:15" x14ac:dyDescent="0.3">
      <c r="A919" s="5" t="s">
        <v>1036</v>
      </c>
      <c r="B919" s="6">
        <v>45793</v>
      </c>
      <c r="C919" s="5" t="s">
        <v>1008</v>
      </c>
      <c r="D919" s="5" t="s">
        <v>54</v>
      </c>
      <c r="E919" s="5" t="s">
        <v>87</v>
      </c>
      <c r="F919" s="5" t="s">
        <v>176</v>
      </c>
      <c r="G919" s="5" t="s">
        <v>177</v>
      </c>
      <c r="H919" s="5" t="s">
        <v>37</v>
      </c>
      <c r="I919" s="14">
        <v>12592.86</v>
      </c>
      <c r="J919" s="7">
        <v>0</v>
      </c>
      <c r="K919" s="5" t="s">
        <v>19</v>
      </c>
      <c r="L919" s="5" t="s">
        <v>27</v>
      </c>
      <c r="M919" s="17" t="str">
        <f t="shared" si="42"/>
        <v>0</v>
      </c>
      <c r="N919" s="15">
        <f t="shared" si="43"/>
        <v>12592.86</v>
      </c>
      <c r="O919" t="str">
        <f t="shared" si="44"/>
        <v>Yes</v>
      </c>
    </row>
    <row r="920" spans="1:15" x14ac:dyDescent="0.3">
      <c r="A920" s="2" t="s">
        <v>1037</v>
      </c>
      <c r="B920" s="3">
        <v>45793</v>
      </c>
      <c r="C920" s="2" t="s">
        <v>1008</v>
      </c>
      <c r="D920" s="2" t="s">
        <v>14</v>
      </c>
      <c r="E920" s="2" t="s">
        <v>15</v>
      </c>
      <c r="F920" s="2" t="s">
        <v>16</v>
      </c>
      <c r="G920" s="2" t="s">
        <v>17</v>
      </c>
      <c r="H920" s="2" t="s">
        <v>37</v>
      </c>
      <c r="I920" s="12">
        <v>6265.14</v>
      </c>
      <c r="J920" s="4">
        <v>12000</v>
      </c>
      <c r="K920" s="2" t="s">
        <v>47</v>
      </c>
      <c r="L920" s="2" t="s">
        <v>20</v>
      </c>
      <c r="M920" s="17">
        <f t="shared" si="42"/>
        <v>-5734.86</v>
      </c>
      <c r="N920" s="15">
        <f t="shared" si="43"/>
        <v>-6265.14</v>
      </c>
      <c r="O920" t="str">
        <f t="shared" si="44"/>
        <v>No</v>
      </c>
    </row>
    <row r="921" spans="1:15" x14ac:dyDescent="0.3">
      <c r="A921" s="5" t="s">
        <v>1038</v>
      </c>
      <c r="B921" s="6">
        <v>45793</v>
      </c>
      <c r="C921" s="5" t="s">
        <v>1008</v>
      </c>
      <c r="D921" s="5" t="s">
        <v>54</v>
      </c>
      <c r="E921" s="5" t="s">
        <v>55</v>
      </c>
      <c r="F921" s="5" t="s">
        <v>56</v>
      </c>
      <c r="G921" s="5" t="s">
        <v>57</v>
      </c>
      <c r="H921" s="5" t="s">
        <v>37</v>
      </c>
      <c r="I921" s="14">
        <v>45399.88</v>
      </c>
      <c r="J921" s="7">
        <v>0</v>
      </c>
      <c r="K921" s="5" t="s">
        <v>19</v>
      </c>
      <c r="L921" s="5" t="s">
        <v>20</v>
      </c>
      <c r="M921" s="17" t="str">
        <f t="shared" si="42"/>
        <v>0</v>
      </c>
      <c r="N921" s="15">
        <f t="shared" si="43"/>
        <v>45399.88</v>
      </c>
      <c r="O921" t="str">
        <f t="shared" si="44"/>
        <v>Yes</v>
      </c>
    </row>
    <row r="922" spans="1:15" x14ac:dyDescent="0.3">
      <c r="A922" s="2" t="s">
        <v>1039</v>
      </c>
      <c r="B922" s="3">
        <v>45793</v>
      </c>
      <c r="C922" s="2" t="s">
        <v>1008</v>
      </c>
      <c r="D922" s="2" t="s">
        <v>14</v>
      </c>
      <c r="E922" s="2" t="s">
        <v>112</v>
      </c>
      <c r="F922" s="2" t="s">
        <v>193</v>
      </c>
      <c r="G922" s="2" t="s">
        <v>194</v>
      </c>
      <c r="H922" s="2" t="s">
        <v>25</v>
      </c>
      <c r="I922" s="12">
        <v>9156.2999999999993</v>
      </c>
      <c r="J922" s="4">
        <v>8000</v>
      </c>
      <c r="K922" s="2" t="s">
        <v>47</v>
      </c>
      <c r="L922" s="2" t="s">
        <v>20</v>
      </c>
      <c r="M922" s="17">
        <f t="shared" si="42"/>
        <v>1156.2999999999993</v>
      </c>
      <c r="N922" s="15">
        <f t="shared" si="43"/>
        <v>-9156.2999999999993</v>
      </c>
      <c r="O922" t="str">
        <f t="shared" si="44"/>
        <v>Yes</v>
      </c>
    </row>
    <row r="923" spans="1:15" x14ac:dyDescent="0.3">
      <c r="A923" s="5" t="s">
        <v>1040</v>
      </c>
      <c r="B923" s="6">
        <v>45794</v>
      </c>
      <c r="C923" s="5" t="s">
        <v>1008</v>
      </c>
      <c r="D923" s="5" t="s">
        <v>54</v>
      </c>
      <c r="E923" s="5" t="s">
        <v>87</v>
      </c>
      <c r="F923" s="5" t="s">
        <v>88</v>
      </c>
      <c r="G923" s="5" t="s">
        <v>89</v>
      </c>
      <c r="H923" s="5" t="s">
        <v>18</v>
      </c>
      <c r="I923" s="14">
        <v>7481.11</v>
      </c>
      <c r="J923" s="7">
        <v>0</v>
      </c>
      <c r="K923" s="5" t="s">
        <v>38</v>
      </c>
      <c r="L923" s="5" t="s">
        <v>20</v>
      </c>
      <c r="M923" s="17" t="str">
        <f t="shared" si="42"/>
        <v>0</v>
      </c>
      <c r="N923" s="15">
        <f t="shared" si="43"/>
        <v>7481.11</v>
      </c>
      <c r="O923" t="str">
        <f t="shared" si="44"/>
        <v>Yes</v>
      </c>
    </row>
    <row r="924" spans="1:15" x14ac:dyDescent="0.3">
      <c r="A924" s="2" t="s">
        <v>1041</v>
      </c>
      <c r="B924" s="3">
        <v>45794</v>
      </c>
      <c r="C924" s="2" t="s">
        <v>1008</v>
      </c>
      <c r="D924" s="2" t="s">
        <v>14</v>
      </c>
      <c r="E924" s="2" t="s">
        <v>29</v>
      </c>
      <c r="F924" s="2" t="s">
        <v>109</v>
      </c>
      <c r="G924" s="2" t="s">
        <v>110</v>
      </c>
      <c r="H924" s="2" t="s">
        <v>52</v>
      </c>
      <c r="I924" s="12">
        <v>1763.97</v>
      </c>
      <c r="J924" s="4">
        <v>3000</v>
      </c>
      <c r="K924" s="2" t="s">
        <v>38</v>
      </c>
      <c r="L924" s="2" t="s">
        <v>20</v>
      </c>
      <c r="M924" s="17">
        <f t="shared" si="42"/>
        <v>-1236.03</v>
      </c>
      <c r="N924" s="15">
        <f t="shared" si="43"/>
        <v>-1763.97</v>
      </c>
      <c r="O924" t="str">
        <f t="shared" si="44"/>
        <v>No</v>
      </c>
    </row>
    <row r="925" spans="1:15" x14ac:dyDescent="0.3">
      <c r="A925" s="5" t="s">
        <v>1042</v>
      </c>
      <c r="B925" s="6">
        <v>45796</v>
      </c>
      <c r="C925" s="5" t="s">
        <v>1008</v>
      </c>
      <c r="D925" s="5" t="s">
        <v>14</v>
      </c>
      <c r="E925" s="5" t="s">
        <v>72</v>
      </c>
      <c r="F925" s="5" t="s">
        <v>132</v>
      </c>
      <c r="G925" s="5" t="s">
        <v>133</v>
      </c>
      <c r="H925" s="5" t="s">
        <v>18</v>
      </c>
      <c r="I925" s="14">
        <v>1913.45</v>
      </c>
      <c r="J925" s="7">
        <v>2000</v>
      </c>
      <c r="K925" s="5" t="s">
        <v>19</v>
      </c>
      <c r="L925" s="5" t="s">
        <v>27</v>
      </c>
      <c r="M925" s="17">
        <f t="shared" si="42"/>
        <v>-86.549999999999955</v>
      </c>
      <c r="N925" s="15">
        <f t="shared" si="43"/>
        <v>-1913.45</v>
      </c>
      <c r="O925" t="str">
        <f t="shared" si="44"/>
        <v>No</v>
      </c>
    </row>
    <row r="926" spans="1:15" x14ac:dyDescent="0.3">
      <c r="A926" s="2" t="s">
        <v>1043</v>
      </c>
      <c r="B926" s="3">
        <v>45797</v>
      </c>
      <c r="C926" s="2" t="s">
        <v>1008</v>
      </c>
      <c r="D926" s="2" t="s">
        <v>14</v>
      </c>
      <c r="E926" s="2" t="s">
        <v>15</v>
      </c>
      <c r="F926" s="2" t="s">
        <v>60</v>
      </c>
      <c r="G926" s="2" t="s">
        <v>61</v>
      </c>
      <c r="H926" s="2" t="s">
        <v>37</v>
      </c>
      <c r="I926" s="12">
        <v>8037.85</v>
      </c>
      <c r="J926" s="4">
        <v>12000</v>
      </c>
      <c r="K926" s="2" t="s">
        <v>38</v>
      </c>
      <c r="L926" s="2" t="s">
        <v>20</v>
      </c>
      <c r="M926" s="17">
        <f t="shared" si="42"/>
        <v>-3962.1499999999996</v>
      </c>
      <c r="N926" s="15">
        <f t="shared" si="43"/>
        <v>-8037.85</v>
      </c>
      <c r="O926" t="str">
        <f t="shared" si="44"/>
        <v>No</v>
      </c>
    </row>
    <row r="927" spans="1:15" x14ac:dyDescent="0.3">
      <c r="A927" s="5" t="s">
        <v>1044</v>
      </c>
      <c r="B927" s="6">
        <v>45797</v>
      </c>
      <c r="C927" s="5" t="s">
        <v>1008</v>
      </c>
      <c r="D927" s="5" t="s">
        <v>14</v>
      </c>
      <c r="E927" s="5" t="s">
        <v>40</v>
      </c>
      <c r="F927" s="5" t="s">
        <v>97</v>
      </c>
      <c r="G927" s="5" t="s">
        <v>98</v>
      </c>
      <c r="H927" s="5" t="s">
        <v>32</v>
      </c>
      <c r="I927" s="14">
        <v>4997.68</v>
      </c>
      <c r="J927" s="7">
        <v>6000</v>
      </c>
      <c r="K927" s="5" t="s">
        <v>38</v>
      </c>
      <c r="L927" s="5" t="s">
        <v>27</v>
      </c>
      <c r="M927" s="17">
        <f t="shared" si="42"/>
        <v>-1002.3199999999997</v>
      </c>
      <c r="N927" s="15">
        <f t="shared" si="43"/>
        <v>-4997.68</v>
      </c>
      <c r="O927" t="str">
        <f t="shared" si="44"/>
        <v>No</v>
      </c>
    </row>
    <row r="928" spans="1:15" x14ac:dyDescent="0.3">
      <c r="A928" s="2" t="s">
        <v>1045</v>
      </c>
      <c r="B928" s="3">
        <v>45797</v>
      </c>
      <c r="C928" s="2" t="s">
        <v>1008</v>
      </c>
      <c r="D928" s="2" t="s">
        <v>14</v>
      </c>
      <c r="E928" s="2" t="s">
        <v>29</v>
      </c>
      <c r="F928" s="2" t="s">
        <v>109</v>
      </c>
      <c r="G928" s="2" t="s">
        <v>110</v>
      </c>
      <c r="H928" s="2" t="s">
        <v>18</v>
      </c>
      <c r="I928" s="12">
        <v>3004.43</v>
      </c>
      <c r="J928" s="4">
        <v>3000</v>
      </c>
      <c r="K928" s="2" t="s">
        <v>19</v>
      </c>
      <c r="L928" s="2" t="s">
        <v>20</v>
      </c>
      <c r="M928" s="17">
        <f t="shared" si="42"/>
        <v>4.4299999999998363</v>
      </c>
      <c r="N928" s="15">
        <f t="shared" si="43"/>
        <v>-3004.43</v>
      </c>
      <c r="O928" t="str">
        <f t="shared" si="44"/>
        <v>Yes</v>
      </c>
    </row>
    <row r="929" spans="1:15" x14ac:dyDescent="0.3">
      <c r="A929" s="5" t="s">
        <v>1046</v>
      </c>
      <c r="B929" s="6">
        <v>45797</v>
      </c>
      <c r="C929" s="5" t="s">
        <v>1008</v>
      </c>
      <c r="D929" s="5" t="s">
        <v>54</v>
      </c>
      <c r="E929" s="5" t="s">
        <v>87</v>
      </c>
      <c r="F929" s="5" t="s">
        <v>176</v>
      </c>
      <c r="G929" s="5" t="s">
        <v>177</v>
      </c>
      <c r="H929" s="5" t="s">
        <v>18</v>
      </c>
      <c r="I929" s="14">
        <v>10484.41</v>
      </c>
      <c r="J929" s="7">
        <v>0</v>
      </c>
      <c r="K929" s="5" t="s">
        <v>47</v>
      </c>
      <c r="L929" s="5" t="s">
        <v>27</v>
      </c>
      <c r="M929" s="17" t="str">
        <f t="shared" si="42"/>
        <v>0</v>
      </c>
      <c r="N929" s="15">
        <f t="shared" si="43"/>
        <v>10484.41</v>
      </c>
      <c r="O929" t="str">
        <f t="shared" si="44"/>
        <v>Yes</v>
      </c>
    </row>
    <row r="930" spans="1:15" x14ac:dyDescent="0.3">
      <c r="A930" s="2" t="s">
        <v>1047</v>
      </c>
      <c r="B930" s="3">
        <v>45798</v>
      </c>
      <c r="C930" s="2" t="s">
        <v>1008</v>
      </c>
      <c r="D930" s="2" t="s">
        <v>14</v>
      </c>
      <c r="E930" s="2" t="s">
        <v>72</v>
      </c>
      <c r="F930" s="2" t="s">
        <v>73</v>
      </c>
      <c r="G930" s="2" t="s">
        <v>74</v>
      </c>
      <c r="H930" s="2" t="s">
        <v>32</v>
      </c>
      <c r="I930" s="12">
        <v>2110.89</v>
      </c>
      <c r="J930" s="4">
        <v>2000</v>
      </c>
      <c r="K930" s="2" t="s">
        <v>26</v>
      </c>
      <c r="L930" s="2" t="s">
        <v>27</v>
      </c>
      <c r="M930" s="17">
        <f t="shared" si="42"/>
        <v>110.88999999999987</v>
      </c>
      <c r="N930" s="15">
        <f t="shared" si="43"/>
        <v>-2110.89</v>
      </c>
      <c r="O930" t="str">
        <f t="shared" si="44"/>
        <v>Yes</v>
      </c>
    </row>
    <row r="931" spans="1:15" x14ac:dyDescent="0.3">
      <c r="A931" s="5" t="s">
        <v>1048</v>
      </c>
      <c r="B931" s="6">
        <v>45798</v>
      </c>
      <c r="C931" s="5" t="s">
        <v>1008</v>
      </c>
      <c r="D931" s="5" t="s">
        <v>54</v>
      </c>
      <c r="E931" s="5" t="s">
        <v>87</v>
      </c>
      <c r="F931" s="5" t="s">
        <v>176</v>
      </c>
      <c r="G931" s="5" t="s">
        <v>177</v>
      </c>
      <c r="H931" s="5" t="s">
        <v>18</v>
      </c>
      <c r="I931" s="14">
        <v>12912.57</v>
      </c>
      <c r="J931" s="7">
        <v>0</v>
      </c>
      <c r="K931" s="5" t="s">
        <v>47</v>
      </c>
      <c r="L931" s="5" t="s">
        <v>27</v>
      </c>
      <c r="M931" s="17" t="str">
        <f t="shared" si="42"/>
        <v>0</v>
      </c>
      <c r="N931" s="15">
        <f t="shared" si="43"/>
        <v>12912.57</v>
      </c>
      <c r="O931" t="str">
        <f t="shared" si="44"/>
        <v>Yes</v>
      </c>
    </row>
    <row r="932" spans="1:15" x14ac:dyDescent="0.3">
      <c r="A932" s="2" t="s">
        <v>1049</v>
      </c>
      <c r="B932" s="3">
        <v>45799</v>
      </c>
      <c r="C932" s="2" t="s">
        <v>1008</v>
      </c>
      <c r="D932" s="2" t="s">
        <v>14</v>
      </c>
      <c r="E932" s="2" t="s">
        <v>22</v>
      </c>
      <c r="F932" s="2" t="s">
        <v>66</v>
      </c>
      <c r="G932" s="2" t="s">
        <v>67</v>
      </c>
      <c r="H932" s="2" t="s">
        <v>25</v>
      </c>
      <c r="I932" s="12">
        <v>1906.16</v>
      </c>
      <c r="J932" s="4">
        <v>2500</v>
      </c>
      <c r="K932" s="2" t="s">
        <v>19</v>
      </c>
      <c r="L932" s="2" t="s">
        <v>27</v>
      </c>
      <c r="M932" s="17">
        <f t="shared" si="42"/>
        <v>-593.83999999999992</v>
      </c>
      <c r="N932" s="15">
        <f t="shared" si="43"/>
        <v>-1906.16</v>
      </c>
      <c r="O932" t="str">
        <f t="shared" si="44"/>
        <v>No</v>
      </c>
    </row>
    <row r="933" spans="1:15" x14ac:dyDescent="0.3">
      <c r="A933" s="5" t="s">
        <v>1050</v>
      </c>
      <c r="B933" s="6">
        <v>45799</v>
      </c>
      <c r="C933" s="5" t="s">
        <v>1008</v>
      </c>
      <c r="D933" s="5" t="s">
        <v>14</v>
      </c>
      <c r="E933" s="5" t="s">
        <v>34</v>
      </c>
      <c r="F933" s="5" t="s">
        <v>94</v>
      </c>
      <c r="G933" s="5" t="s">
        <v>95</v>
      </c>
      <c r="H933" s="5" t="s">
        <v>37</v>
      </c>
      <c r="I933" s="14">
        <v>3595.26</v>
      </c>
      <c r="J933" s="7">
        <v>4000</v>
      </c>
      <c r="K933" s="5" t="s">
        <v>26</v>
      </c>
      <c r="L933" s="5" t="s">
        <v>20</v>
      </c>
      <c r="M933" s="17">
        <f t="shared" si="42"/>
        <v>-404.73999999999978</v>
      </c>
      <c r="N933" s="15">
        <f t="shared" si="43"/>
        <v>-3595.26</v>
      </c>
      <c r="O933" t="str">
        <f t="shared" si="44"/>
        <v>No</v>
      </c>
    </row>
    <row r="934" spans="1:15" x14ac:dyDescent="0.3">
      <c r="A934" s="2" t="s">
        <v>1051</v>
      </c>
      <c r="B934" s="3">
        <v>45800</v>
      </c>
      <c r="C934" s="2" t="s">
        <v>1008</v>
      </c>
      <c r="D934" s="2" t="s">
        <v>14</v>
      </c>
      <c r="E934" s="2" t="s">
        <v>34</v>
      </c>
      <c r="F934" s="2" t="s">
        <v>94</v>
      </c>
      <c r="G934" s="2" t="s">
        <v>95</v>
      </c>
      <c r="H934" s="2" t="s">
        <v>37</v>
      </c>
      <c r="I934" s="12">
        <v>4743.84</v>
      </c>
      <c r="J934" s="4">
        <v>4000</v>
      </c>
      <c r="K934" s="2" t="s">
        <v>26</v>
      </c>
      <c r="L934" s="2" t="s">
        <v>27</v>
      </c>
      <c r="M934" s="17">
        <f t="shared" si="42"/>
        <v>743.84000000000015</v>
      </c>
      <c r="N934" s="15">
        <f t="shared" si="43"/>
        <v>-4743.84</v>
      </c>
      <c r="O934" t="str">
        <f t="shared" si="44"/>
        <v>Yes</v>
      </c>
    </row>
    <row r="935" spans="1:15" x14ac:dyDescent="0.3">
      <c r="A935" s="5" t="s">
        <v>1052</v>
      </c>
      <c r="B935" s="6">
        <v>45805</v>
      </c>
      <c r="C935" s="5" t="s">
        <v>1008</v>
      </c>
      <c r="D935" s="5" t="s">
        <v>14</v>
      </c>
      <c r="E935" s="5" t="s">
        <v>15</v>
      </c>
      <c r="F935" s="5" t="s">
        <v>16</v>
      </c>
      <c r="G935" s="5" t="s">
        <v>17</v>
      </c>
      <c r="H935" s="5" t="s">
        <v>52</v>
      </c>
      <c r="I935" s="14">
        <v>11220.99</v>
      </c>
      <c r="J935" s="7">
        <v>12000</v>
      </c>
      <c r="K935" s="5" t="s">
        <v>19</v>
      </c>
      <c r="L935" s="5" t="s">
        <v>20</v>
      </c>
      <c r="M935" s="17">
        <f t="shared" si="42"/>
        <v>-779.01000000000022</v>
      </c>
      <c r="N935" s="15">
        <f t="shared" si="43"/>
        <v>-11220.99</v>
      </c>
      <c r="O935" t="str">
        <f t="shared" si="44"/>
        <v>No</v>
      </c>
    </row>
    <row r="936" spans="1:15" x14ac:dyDescent="0.3">
      <c r="A936" s="2" t="s">
        <v>1053</v>
      </c>
      <c r="B936" s="3">
        <v>45805</v>
      </c>
      <c r="C936" s="2" t="s">
        <v>1008</v>
      </c>
      <c r="D936" s="2" t="s">
        <v>14</v>
      </c>
      <c r="E936" s="2" t="s">
        <v>29</v>
      </c>
      <c r="F936" s="2" t="s">
        <v>30</v>
      </c>
      <c r="G936" s="2" t="s">
        <v>31</v>
      </c>
      <c r="H936" s="2" t="s">
        <v>37</v>
      </c>
      <c r="I936" s="12">
        <v>2741.42</v>
      </c>
      <c r="J936" s="4">
        <v>3000</v>
      </c>
      <c r="K936" s="2" t="s">
        <v>26</v>
      </c>
      <c r="L936" s="2" t="s">
        <v>20</v>
      </c>
      <c r="M936" s="17">
        <f t="shared" si="42"/>
        <v>-258.57999999999993</v>
      </c>
      <c r="N936" s="15">
        <f t="shared" si="43"/>
        <v>-2741.42</v>
      </c>
      <c r="O936" t="str">
        <f t="shared" si="44"/>
        <v>No</v>
      </c>
    </row>
    <row r="937" spans="1:15" x14ac:dyDescent="0.3">
      <c r="A937" s="5" t="s">
        <v>1054</v>
      </c>
      <c r="B937" s="6">
        <v>45807</v>
      </c>
      <c r="C937" s="5" t="s">
        <v>1008</v>
      </c>
      <c r="D937" s="5" t="s">
        <v>14</v>
      </c>
      <c r="E937" s="5" t="s">
        <v>40</v>
      </c>
      <c r="F937" s="5" t="s">
        <v>97</v>
      </c>
      <c r="G937" s="5" t="s">
        <v>98</v>
      </c>
      <c r="H937" s="5" t="s">
        <v>37</v>
      </c>
      <c r="I937" s="14">
        <v>5525.02</v>
      </c>
      <c r="J937" s="7">
        <v>6000</v>
      </c>
      <c r="K937" s="5" t="s">
        <v>47</v>
      </c>
      <c r="L937" s="5" t="s">
        <v>27</v>
      </c>
      <c r="M937" s="17">
        <f t="shared" si="42"/>
        <v>-474.97999999999956</v>
      </c>
      <c r="N937" s="15">
        <f t="shared" si="43"/>
        <v>-5525.02</v>
      </c>
      <c r="O937" t="str">
        <f t="shared" si="44"/>
        <v>No</v>
      </c>
    </row>
    <row r="938" spans="1:15" x14ac:dyDescent="0.3">
      <c r="A938" s="2" t="s">
        <v>1055</v>
      </c>
      <c r="B938" s="3">
        <v>45807</v>
      </c>
      <c r="C938" s="2" t="s">
        <v>1008</v>
      </c>
      <c r="D938" s="2" t="s">
        <v>14</v>
      </c>
      <c r="E938" s="2" t="s">
        <v>104</v>
      </c>
      <c r="F938" s="2" t="s">
        <v>163</v>
      </c>
      <c r="G938" s="2" t="s">
        <v>164</v>
      </c>
      <c r="H938" s="2" t="s">
        <v>37</v>
      </c>
      <c r="I938" s="12">
        <v>1300.82</v>
      </c>
      <c r="J938" s="4">
        <v>2000</v>
      </c>
      <c r="K938" s="2" t="s">
        <v>26</v>
      </c>
      <c r="L938" s="2" t="s">
        <v>27</v>
      </c>
      <c r="M938" s="17">
        <f t="shared" si="42"/>
        <v>-699.18000000000006</v>
      </c>
      <c r="N938" s="15">
        <f t="shared" si="43"/>
        <v>-1300.82</v>
      </c>
      <c r="O938" t="str">
        <f t="shared" si="44"/>
        <v>No</v>
      </c>
    </row>
    <row r="939" spans="1:15" x14ac:dyDescent="0.3">
      <c r="A939" s="5" t="s">
        <v>1056</v>
      </c>
      <c r="B939" s="6">
        <v>45808</v>
      </c>
      <c r="C939" s="5" t="s">
        <v>1008</v>
      </c>
      <c r="D939" s="5" t="s">
        <v>14</v>
      </c>
      <c r="E939" s="5" t="s">
        <v>49</v>
      </c>
      <c r="F939" s="5" t="s">
        <v>50</v>
      </c>
      <c r="G939" s="5" t="s">
        <v>51</v>
      </c>
      <c r="H939" s="5" t="s">
        <v>32</v>
      </c>
      <c r="I939" s="14">
        <v>1992.83</v>
      </c>
      <c r="J939" s="7">
        <v>3500</v>
      </c>
      <c r="K939" s="5" t="s">
        <v>38</v>
      </c>
      <c r="L939" s="5" t="s">
        <v>27</v>
      </c>
      <c r="M939" s="17">
        <f t="shared" si="42"/>
        <v>-1507.17</v>
      </c>
      <c r="N939" s="15">
        <f t="shared" si="43"/>
        <v>-1992.83</v>
      </c>
      <c r="O939" t="str">
        <f t="shared" si="44"/>
        <v>No</v>
      </c>
    </row>
    <row r="940" spans="1:15" x14ac:dyDescent="0.3">
      <c r="A940" s="2" t="s">
        <v>1057</v>
      </c>
      <c r="B940" s="3">
        <v>45809</v>
      </c>
      <c r="C940" s="2" t="s">
        <v>1058</v>
      </c>
      <c r="D940" s="2" t="s">
        <v>14</v>
      </c>
      <c r="E940" s="2" t="s">
        <v>15</v>
      </c>
      <c r="F940" s="2" t="s">
        <v>83</v>
      </c>
      <c r="G940" s="2" t="s">
        <v>84</v>
      </c>
      <c r="H940" s="2" t="s">
        <v>37</v>
      </c>
      <c r="I940" s="12">
        <v>9602.86</v>
      </c>
      <c r="J940" s="4">
        <v>12000</v>
      </c>
      <c r="K940" s="2" t="s">
        <v>26</v>
      </c>
      <c r="L940" s="2" t="s">
        <v>20</v>
      </c>
      <c r="M940" s="17">
        <f t="shared" si="42"/>
        <v>-2397.1399999999994</v>
      </c>
      <c r="N940" s="15">
        <f t="shared" si="43"/>
        <v>-9602.86</v>
      </c>
      <c r="O940" t="str">
        <f t="shared" si="44"/>
        <v>No</v>
      </c>
    </row>
    <row r="941" spans="1:15" x14ac:dyDescent="0.3">
      <c r="A941" s="5" t="s">
        <v>1059</v>
      </c>
      <c r="B941" s="6">
        <v>45810</v>
      </c>
      <c r="C941" s="5" t="s">
        <v>1058</v>
      </c>
      <c r="D941" s="5" t="s">
        <v>14</v>
      </c>
      <c r="E941" s="5" t="s">
        <v>44</v>
      </c>
      <c r="F941" s="5" t="s">
        <v>45</v>
      </c>
      <c r="G941" s="5" t="s">
        <v>46</v>
      </c>
      <c r="H941" s="5" t="s">
        <v>18</v>
      </c>
      <c r="I941" s="14">
        <v>9564.32</v>
      </c>
      <c r="J941" s="7">
        <v>15000</v>
      </c>
      <c r="K941" s="5" t="s">
        <v>19</v>
      </c>
      <c r="L941" s="5" t="s">
        <v>20</v>
      </c>
      <c r="M941" s="17">
        <f t="shared" si="42"/>
        <v>-5435.68</v>
      </c>
      <c r="N941" s="15">
        <f t="shared" si="43"/>
        <v>-9564.32</v>
      </c>
      <c r="O941" t="str">
        <f t="shared" si="44"/>
        <v>No</v>
      </c>
    </row>
    <row r="942" spans="1:15" x14ac:dyDescent="0.3">
      <c r="A942" s="2" t="s">
        <v>1060</v>
      </c>
      <c r="B942" s="3">
        <v>45810</v>
      </c>
      <c r="C942" s="2" t="s">
        <v>1058</v>
      </c>
      <c r="D942" s="2" t="s">
        <v>14</v>
      </c>
      <c r="E942" s="2" t="s">
        <v>15</v>
      </c>
      <c r="F942" s="2" t="s">
        <v>16</v>
      </c>
      <c r="G942" s="2" t="s">
        <v>17</v>
      </c>
      <c r="H942" s="2" t="s">
        <v>18</v>
      </c>
      <c r="I942" s="12">
        <v>12754.56</v>
      </c>
      <c r="J942" s="4">
        <v>12000</v>
      </c>
      <c r="K942" s="2" t="s">
        <v>38</v>
      </c>
      <c r="L942" s="2" t="s">
        <v>20</v>
      </c>
      <c r="M942" s="17">
        <f t="shared" si="42"/>
        <v>754.55999999999949</v>
      </c>
      <c r="N942" s="15">
        <f t="shared" si="43"/>
        <v>-12754.56</v>
      </c>
      <c r="O942" t="str">
        <f t="shared" si="44"/>
        <v>Yes</v>
      </c>
    </row>
    <row r="943" spans="1:15" x14ac:dyDescent="0.3">
      <c r="A943" s="5" t="s">
        <v>1061</v>
      </c>
      <c r="B943" s="6">
        <v>45810</v>
      </c>
      <c r="C943" s="5" t="s">
        <v>1058</v>
      </c>
      <c r="D943" s="5" t="s">
        <v>14</v>
      </c>
      <c r="E943" s="5" t="s">
        <v>44</v>
      </c>
      <c r="F943" s="5" t="s">
        <v>45</v>
      </c>
      <c r="G943" s="5" t="s">
        <v>46</v>
      </c>
      <c r="H943" s="5" t="s">
        <v>32</v>
      </c>
      <c r="I943" s="14">
        <v>8702.1200000000008</v>
      </c>
      <c r="J943" s="7">
        <v>15000</v>
      </c>
      <c r="K943" s="5" t="s">
        <v>26</v>
      </c>
      <c r="L943" s="5" t="s">
        <v>20</v>
      </c>
      <c r="M943" s="17">
        <f t="shared" si="42"/>
        <v>-6297.8799999999992</v>
      </c>
      <c r="N943" s="15">
        <f t="shared" si="43"/>
        <v>-8702.1200000000008</v>
      </c>
      <c r="O943" t="str">
        <f t="shared" si="44"/>
        <v>No</v>
      </c>
    </row>
    <row r="944" spans="1:15" x14ac:dyDescent="0.3">
      <c r="A944" s="2" t="s">
        <v>1062</v>
      </c>
      <c r="B944" s="3">
        <v>45810</v>
      </c>
      <c r="C944" s="2" t="s">
        <v>1058</v>
      </c>
      <c r="D944" s="2" t="s">
        <v>14</v>
      </c>
      <c r="E944" s="2" t="s">
        <v>22</v>
      </c>
      <c r="F944" s="2" t="s">
        <v>154</v>
      </c>
      <c r="G944" s="2" t="s">
        <v>155</v>
      </c>
      <c r="H944" s="2" t="s">
        <v>37</v>
      </c>
      <c r="I944" s="12">
        <v>1885.89</v>
      </c>
      <c r="J944" s="4">
        <v>2500</v>
      </c>
      <c r="K944" s="2" t="s">
        <v>19</v>
      </c>
      <c r="L944" s="2" t="s">
        <v>20</v>
      </c>
      <c r="M944" s="17">
        <f t="shared" si="42"/>
        <v>-614.1099999999999</v>
      </c>
      <c r="N944" s="15">
        <f t="shared" si="43"/>
        <v>-1885.89</v>
      </c>
      <c r="O944" t="str">
        <f t="shared" si="44"/>
        <v>No</v>
      </c>
    </row>
    <row r="945" spans="1:15" x14ac:dyDescent="0.3">
      <c r="A945" s="5" t="s">
        <v>1063</v>
      </c>
      <c r="B945" s="6">
        <v>45810</v>
      </c>
      <c r="C945" s="5" t="s">
        <v>1058</v>
      </c>
      <c r="D945" s="5" t="s">
        <v>54</v>
      </c>
      <c r="E945" s="5" t="s">
        <v>87</v>
      </c>
      <c r="F945" s="5" t="s">
        <v>88</v>
      </c>
      <c r="G945" s="5" t="s">
        <v>89</v>
      </c>
      <c r="H945" s="5" t="s">
        <v>37</v>
      </c>
      <c r="I945" s="14">
        <v>14258.34</v>
      </c>
      <c r="J945" s="7">
        <v>0</v>
      </c>
      <c r="K945" s="5" t="s">
        <v>38</v>
      </c>
      <c r="L945" s="5" t="s">
        <v>27</v>
      </c>
      <c r="M945" s="17" t="str">
        <f t="shared" si="42"/>
        <v>0</v>
      </c>
      <c r="N945" s="15">
        <f t="shared" si="43"/>
        <v>14258.34</v>
      </c>
      <c r="O945" t="str">
        <f t="shared" si="44"/>
        <v>Yes</v>
      </c>
    </row>
    <row r="946" spans="1:15" x14ac:dyDescent="0.3">
      <c r="A946" s="2" t="s">
        <v>1064</v>
      </c>
      <c r="B946" s="3">
        <v>45811</v>
      </c>
      <c r="C946" s="2" t="s">
        <v>1058</v>
      </c>
      <c r="D946" s="2" t="s">
        <v>14</v>
      </c>
      <c r="E946" s="2" t="s">
        <v>15</v>
      </c>
      <c r="F946" s="2" t="s">
        <v>60</v>
      </c>
      <c r="G946" s="2" t="s">
        <v>61</v>
      </c>
      <c r="H946" s="2" t="s">
        <v>18</v>
      </c>
      <c r="I946" s="12">
        <v>15593.25</v>
      </c>
      <c r="J946" s="4">
        <v>12000</v>
      </c>
      <c r="K946" s="2" t="s">
        <v>38</v>
      </c>
      <c r="L946" s="2" t="s">
        <v>20</v>
      </c>
      <c r="M946" s="17">
        <f t="shared" si="42"/>
        <v>3593.25</v>
      </c>
      <c r="N946" s="15">
        <f t="shared" si="43"/>
        <v>-15593.25</v>
      </c>
      <c r="O946" t="str">
        <f t="shared" si="44"/>
        <v>Yes</v>
      </c>
    </row>
    <row r="947" spans="1:15" x14ac:dyDescent="0.3">
      <c r="A947" s="5" t="s">
        <v>1065</v>
      </c>
      <c r="B947" s="6">
        <v>45813</v>
      </c>
      <c r="C947" s="5" t="s">
        <v>1058</v>
      </c>
      <c r="D947" s="5" t="s">
        <v>14</v>
      </c>
      <c r="E947" s="5" t="s">
        <v>104</v>
      </c>
      <c r="F947" s="5" t="s">
        <v>163</v>
      </c>
      <c r="G947" s="5" t="s">
        <v>164</v>
      </c>
      <c r="H947" s="5" t="s">
        <v>25</v>
      </c>
      <c r="I947" s="14">
        <v>1159.8399999999999</v>
      </c>
      <c r="J947" s="7">
        <v>2000</v>
      </c>
      <c r="K947" s="5" t="s">
        <v>47</v>
      </c>
      <c r="L947" s="5" t="s">
        <v>27</v>
      </c>
      <c r="M947" s="17">
        <f t="shared" si="42"/>
        <v>-840.16000000000008</v>
      </c>
      <c r="N947" s="15">
        <f t="shared" si="43"/>
        <v>-1159.8399999999999</v>
      </c>
      <c r="O947" t="str">
        <f t="shared" si="44"/>
        <v>No</v>
      </c>
    </row>
    <row r="948" spans="1:15" x14ac:dyDescent="0.3">
      <c r="A948" s="2" t="s">
        <v>1066</v>
      </c>
      <c r="B948" s="3">
        <v>45814</v>
      </c>
      <c r="C948" s="2" t="s">
        <v>1058</v>
      </c>
      <c r="D948" s="2" t="s">
        <v>14</v>
      </c>
      <c r="E948" s="2" t="s">
        <v>49</v>
      </c>
      <c r="F948" s="2" t="s">
        <v>180</v>
      </c>
      <c r="G948" s="2" t="s">
        <v>181</v>
      </c>
      <c r="H948" s="2" t="s">
        <v>18</v>
      </c>
      <c r="I948" s="12">
        <v>2311.13</v>
      </c>
      <c r="J948" s="4">
        <v>3500</v>
      </c>
      <c r="K948" s="2" t="s">
        <v>26</v>
      </c>
      <c r="L948" s="2" t="s">
        <v>27</v>
      </c>
      <c r="M948" s="17">
        <f t="shared" si="42"/>
        <v>-1188.8699999999999</v>
      </c>
      <c r="N948" s="15">
        <f t="shared" si="43"/>
        <v>-2311.13</v>
      </c>
      <c r="O948" t="str">
        <f t="shared" si="44"/>
        <v>No</v>
      </c>
    </row>
    <row r="949" spans="1:15" x14ac:dyDescent="0.3">
      <c r="A949" s="5" t="s">
        <v>1067</v>
      </c>
      <c r="B949" s="6">
        <v>45814</v>
      </c>
      <c r="C949" s="5" t="s">
        <v>1058</v>
      </c>
      <c r="D949" s="5" t="s">
        <v>14</v>
      </c>
      <c r="E949" s="5" t="s">
        <v>112</v>
      </c>
      <c r="F949" s="5" t="s">
        <v>193</v>
      </c>
      <c r="G949" s="5" t="s">
        <v>194</v>
      </c>
      <c r="H949" s="5" t="s">
        <v>52</v>
      </c>
      <c r="I949" s="14">
        <v>5894.97</v>
      </c>
      <c r="J949" s="7">
        <v>8000</v>
      </c>
      <c r="K949" s="5" t="s">
        <v>38</v>
      </c>
      <c r="L949" s="5" t="s">
        <v>20</v>
      </c>
      <c r="M949" s="17">
        <f t="shared" si="42"/>
        <v>-2105.0299999999997</v>
      </c>
      <c r="N949" s="15">
        <f t="shared" si="43"/>
        <v>-5894.97</v>
      </c>
      <c r="O949" t="str">
        <f t="shared" si="44"/>
        <v>No</v>
      </c>
    </row>
    <row r="950" spans="1:15" x14ac:dyDescent="0.3">
      <c r="A950" s="2" t="s">
        <v>1068</v>
      </c>
      <c r="B950" s="3">
        <v>45814</v>
      </c>
      <c r="C950" s="2" t="s">
        <v>1058</v>
      </c>
      <c r="D950" s="2" t="s">
        <v>14</v>
      </c>
      <c r="E950" s="2" t="s">
        <v>34</v>
      </c>
      <c r="F950" s="2" t="s">
        <v>35</v>
      </c>
      <c r="G950" s="2" t="s">
        <v>36</v>
      </c>
      <c r="H950" s="2" t="s">
        <v>18</v>
      </c>
      <c r="I950" s="12">
        <v>3060.81</v>
      </c>
      <c r="J950" s="4">
        <v>4000</v>
      </c>
      <c r="K950" s="2" t="s">
        <v>47</v>
      </c>
      <c r="L950" s="2" t="s">
        <v>27</v>
      </c>
      <c r="M950" s="17">
        <f t="shared" si="42"/>
        <v>-939.19</v>
      </c>
      <c r="N950" s="15">
        <f t="shared" si="43"/>
        <v>-3060.81</v>
      </c>
      <c r="O950" t="str">
        <f t="shared" si="44"/>
        <v>No</v>
      </c>
    </row>
    <row r="951" spans="1:15" x14ac:dyDescent="0.3">
      <c r="A951" s="5" t="s">
        <v>1069</v>
      </c>
      <c r="B951" s="6">
        <v>45815</v>
      </c>
      <c r="C951" s="5" t="s">
        <v>1058</v>
      </c>
      <c r="D951" s="5" t="s">
        <v>14</v>
      </c>
      <c r="E951" s="5" t="s">
        <v>34</v>
      </c>
      <c r="F951" s="5" t="s">
        <v>94</v>
      </c>
      <c r="G951" s="5" t="s">
        <v>95</v>
      </c>
      <c r="H951" s="5" t="s">
        <v>18</v>
      </c>
      <c r="I951" s="14">
        <v>4187.07</v>
      </c>
      <c r="J951" s="7">
        <v>4000</v>
      </c>
      <c r="K951" s="5" t="s">
        <v>19</v>
      </c>
      <c r="L951" s="5" t="s">
        <v>27</v>
      </c>
      <c r="M951" s="17">
        <f t="shared" si="42"/>
        <v>187.06999999999971</v>
      </c>
      <c r="N951" s="15">
        <f t="shared" si="43"/>
        <v>-4187.07</v>
      </c>
      <c r="O951" t="str">
        <f t="shared" si="44"/>
        <v>Yes</v>
      </c>
    </row>
    <row r="952" spans="1:15" x14ac:dyDescent="0.3">
      <c r="A952" s="2" t="s">
        <v>1070</v>
      </c>
      <c r="B952" s="3">
        <v>45816</v>
      </c>
      <c r="C952" s="2" t="s">
        <v>1058</v>
      </c>
      <c r="D952" s="2" t="s">
        <v>14</v>
      </c>
      <c r="E952" s="2" t="s">
        <v>40</v>
      </c>
      <c r="F952" s="2" t="s">
        <v>41</v>
      </c>
      <c r="G952" s="2" t="s">
        <v>42</v>
      </c>
      <c r="H952" s="2" t="s">
        <v>37</v>
      </c>
      <c r="I952" s="12">
        <v>3529.62</v>
      </c>
      <c r="J952" s="4">
        <v>6000</v>
      </c>
      <c r="K952" s="2" t="s">
        <v>38</v>
      </c>
      <c r="L952" s="2" t="s">
        <v>27</v>
      </c>
      <c r="M952" s="17">
        <f t="shared" si="42"/>
        <v>-2470.38</v>
      </c>
      <c r="N952" s="15">
        <f t="shared" si="43"/>
        <v>-3529.62</v>
      </c>
      <c r="O952" t="str">
        <f t="shared" si="44"/>
        <v>No</v>
      </c>
    </row>
    <row r="953" spans="1:15" x14ac:dyDescent="0.3">
      <c r="A953" s="5" t="s">
        <v>1071</v>
      </c>
      <c r="B953" s="6">
        <v>45816</v>
      </c>
      <c r="C953" s="5" t="s">
        <v>1058</v>
      </c>
      <c r="D953" s="5" t="s">
        <v>14</v>
      </c>
      <c r="E953" s="5" t="s">
        <v>40</v>
      </c>
      <c r="F953" s="5" t="s">
        <v>97</v>
      </c>
      <c r="G953" s="5" t="s">
        <v>98</v>
      </c>
      <c r="H953" s="5" t="s">
        <v>25</v>
      </c>
      <c r="I953" s="14">
        <v>6072.4</v>
      </c>
      <c r="J953" s="7">
        <v>6000</v>
      </c>
      <c r="K953" s="5" t="s">
        <v>26</v>
      </c>
      <c r="L953" s="5" t="s">
        <v>27</v>
      </c>
      <c r="M953" s="17">
        <f t="shared" si="42"/>
        <v>72.399999999999636</v>
      </c>
      <c r="N953" s="15">
        <f t="shared" si="43"/>
        <v>-6072.4</v>
      </c>
      <c r="O953" t="str">
        <f t="shared" si="44"/>
        <v>Yes</v>
      </c>
    </row>
    <row r="954" spans="1:15" x14ac:dyDescent="0.3">
      <c r="A954" s="2" t="s">
        <v>1072</v>
      </c>
      <c r="B954" s="3">
        <v>45816</v>
      </c>
      <c r="C954" s="2" t="s">
        <v>1058</v>
      </c>
      <c r="D954" s="2" t="s">
        <v>14</v>
      </c>
      <c r="E954" s="2" t="s">
        <v>104</v>
      </c>
      <c r="F954" s="2" t="s">
        <v>184</v>
      </c>
      <c r="G954" s="2" t="s">
        <v>185</v>
      </c>
      <c r="H954" s="2" t="s">
        <v>18</v>
      </c>
      <c r="I954" s="12">
        <v>1608.35</v>
      </c>
      <c r="J954" s="4">
        <v>2000</v>
      </c>
      <c r="K954" s="2" t="s">
        <v>47</v>
      </c>
      <c r="L954" s="2" t="s">
        <v>20</v>
      </c>
      <c r="M954" s="17">
        <f t="shared" si="42"/>
        <v>-391.65000000000009</v>
      </c>
      <c r="N954" s="15">
        <f t="shared" si="43"/>
        <v>-1608.35</v>
      </c>
      <c r="O954" t="str">
        <f t="shared" si="44"/>
        <v>No</v>
      </c>
    </row>
    <row r="955" spans="1:15" x14ac:dyDescent="0.3">
      <c r="A955" s="5" t="s">
        <v>1073</v>
      </c>
      <c r="B955" s="6">
        <v>45816</v>
      </c>
      <c r="C955" s="5" t="s">
        <v>1058</v>
      </c>
      <c r="D955" s="5" t="s">
        <v>14</v>
      </c>
      <c r="E955" s="5" t="s">
        <v>49</v>
      </c>
      <c r="F955" s="5" t="s">
        <v>50</v>
      </c>
      <c r="G955" s="5" t="s">
        <v>51</v>
      </c>
      <c r="H955" s="5" t="s">
        <v>37</v>
      </c>
      <c r="I955" s="14">
        <v>2404.9499999999998</v>
      </c>
      <c r="J955" s="7">
        <v>3500</v>
      </c>
      <c r="K955" s="5" t="s">
        <v>19</v>
      </c>
      <c r="L955" s="5" t="s">
        <v>27</v>
      </c>
      <c r="M955" s="17">
        <f t="shared" si="42"/>
        <v>-1095.0500000000002</v>
      </c>
      <c r="N955" s="15">
        <f t="shared" si="43"/>
        <v>-2404.9499999999998</v>
      </c>
      <c r="O955" t="str">
        <f t="shared" si="44"/>
        <v>No</v>
      </c>
    </row>
    <row r="956" spans="1:15" x14ac:dyDescent="0.3">
      <c r="A956" s="2" t="s">
        <v>1074</v>
      </c>
      <c r="B956" s="3">
        <v>45816</v>
      </c>
      <c r="C956" s="2" t="s">
        <v>1058</v>
      </c>
      <c r="D956" s="2" t="s">
        <v>14</v>
      </c>
      <c r="E956" s="2" t="s">
        <v>29</v>
      </c>
      <c r="F956" s="2" t="s">
        <v>30</v>
      </c>
      <c r="G956" s="2" t="s">
        <v>31</v>
      </c>
      <c r="H956" s="2" t="s">
        <v>37</v>
      </c>
      <c r="I956" s="12">
        <v>3516.52</v>
      </c>
      <c r="J956" s="4">
        <v>3000</v>
      </c>
      <c r="K956" s="2" t="s">
        <v>26</v>
      </c>
      <c r="L956" s="2" t="s">
        <v>20</v>
      </c>
      <c r="M956" s="17">
        <f t="shared" si="42"/>
        <v>516.52</v>
      </c>
      <c r="N956" s="15">
        <f t="shared" si="43"/>
        <v>-3516.52</v>
      </c>
      <c r="O956" t="str">
        <f t="shared" si="44"/>
        <v>Yes</v>
      </c>
    </row>
    <row r="957" spans="1:15" x14ac:dyDescent="0.3">
      <c r="A957" s="5" t="s">
        <v>1075</v>
      </c>
      <c r="B957" s="6">
        <v>45817</v>
      </c>
      <c r="C957" s="5" t="s">
        <v>1058</v>
      </c>
      <c r="D957" s="5" t="s">
        <v>14</v>
      </c>
      <c r="E957" s="5" t="s">
        <v>34</v>
      </c>
      <c r="F957" s="5" t="s">
        <v>94</v>
      </c>
      <c r="G957" s="5" t="s">
        <v>95</v>
      </c>
      <c r="H957" s="5" t="s">
        <v>37</v>
      </c>
      <c r="I957" s="14">
        <v>4527.3</v>
      </c>
      <c r="J957" s="7">
        <v>4000</v>
      </c>
      <c r="K957" s="5" t="s">
        <v>47</v>
      </c>
      <c r="L957" s="5" t="s">
        <v>27</v>
      </c>
      <c r="M957" s="17">
        <f t="shared" si="42"/>
        <v>527.30000000000018</v>
      </c>
      <c r="N957" s="15">
        <f t="shared" si="43"/>
        <v>-4527.3</v>
      </c>
      <c r="O957" t="str">
        <f t="shared" si="44"/>
        <v>Yes</v>
      </c>
    </row>
    <row r="958" spans="1:15" x14ac:dyDescent="0.3">
      <c r="A958" s="2" t="s">
        <v>1076</v>
      </c>
      <c r="B958" s="3">
        <v>45817</v>
      </c>
      <c r="C958" s="2" t="s">
        <v>1058</v>
      </c>
      <c r="D958" s="2" t="s">
        <v>14</v>
      </c>
      <c r="E958" s="2" t="s">
        <v>22</v>
      </c>
      <c r="F958" s="2" t="s">
        <v>154</v>
      </c>
      <c r="G958" s="2" t="s">
        <v>155</v>
      </c>
      <c r="H958" s="2" t="s">
        <v>18</v>
      </c>
      <c r="I958" s="12">
        <v>2489.0100000000002</v>
      </c>
      <c r="J958" s="4">
        <v>2500</v>
      </c>
      <c r="K958" s="2" t="s">
        <v>38</v>
      </c>
      <c r="L958" s="2" t="s">
        <v>27</v>
      </c>
      <c r="M958" s="17">
        <f t="shared" si="42"/>
        <v>-10.989999999999782</v>
      </c>
      <c r="N958" s="15">
        <f t="shared" si="43"/>
        <v>-2489.0100000000002</v>
      </c>
      <c r="O958" t="str">
        <f t="shared" si="44"/>
        <v>No</v>
      </c>
    </row>
    <row r="959" spans="1:15" x14ac:dyDescent="0.3">
      <c r="A959" s="5" t="s">
        <v>1077</v>
      </c>
      <c r="B959" s="6">
        <v>45818</v>
      </c>
      <c r="C959" s="5" t="s">
        <v>1058</v>
      </c>
      <c r="D959" s="5" t="s">
        <v>14</v>
      </c>
      <c r="E959" s="5" t="s">
        <v>72</v>
      </c>
      <c r="F959" s="5" t="s">
        <v>132</v>
      </c>
      <c r="G959" s="5" t="s">
        <v>133</v>
      </c>
      <c r="H959" s="5" t="s">
        <v>18</v>
      </c>
      <c r="I959" s="14">
        <v>2146.14</v>
      </c>
      <c r="J959" s="7">
        <v>2000</v>
      </c>
      <c r="K959" s="5" t="s">
        <v>38</v>
      </c>
      <c r="L959" s="5" t="s">
        <v>27</v>
      </c>
      <c r="M959" s="17">
        <f t="shared" si="42"/>
        <v>146.13999999999987</v>
      </c>
      <c r="N959" s="15">
        <f t="shared" si="43"/>
        <v>-2146.14</v>
      </c>
      <c r="O959" t="str">
        <f t="shared" si="44"/>
        <v>Yes</v>
      </c>
    </row>
    <row r="960" spans="1:15" x14ac:dyDescent="0.3">
      <c r="A960" s="2" t="s">
        <v>1078</v>
      </c>
      <c r="B960" s="3">
        <v>45818</v>
      </c>
      <c r="C960" s="2" t="s">
        <v>1058</v>
      </c>
      <c r="D960" s="2" t="s">
        <v>14</v>
      </c>
      <c r="E960" s="2" t="s">
        <v>15</v>
      </c>
      <c r="F960" s="2" t="s">
        <v>60</v>
      </c>
      <c r="G960" s="2" t="s">
        <v>61</v>
      </c>
      <c r="H960" s="2" t="s">
        <v>25</v>
      </c>
      <c r="I960" s="12">
        <v>11130.77</v>
      </c>
      <c r="J960" s="4">
        <v>12000</v>
      </c>
      <c r="K960" s="2" t="s">
        <v>26</v>
      </c>
      <c r="L960" s="2" t="s">
        <v>20</v>
      </c>
      <c r="M960" s="17">
        <f t="shared" si="42"/>
        <v>-869.22999999999956</v>
      </c>
      <c r="N960" s="15">
        <f t="shared" si="43"/>
        <v>-11130.77</v>
      </c>
      <c r="O960" t="str">
        <f t="shared" si="44"/>
        <v>No</v>
      </c>
    </row>
    <row r="961" spans="1:15" x14ac:dyDescent="0.3">
      <c r="A961" s="5" t="s">
        <v>1079</v>
      </c>
      <c r="B961" s="6">
        <v>45818</v>
      </c>
      <c r="C961" s="5" t="s">
        <v>1058</v>
      </c>
      <c r="D961" s="5" t="s">
        <v>14</v>
      </c>
      <c r="E961" s="5" t="s">
        <v>44</v>
      </c>
      <c r="F961" s="5" t="s">
        <v>45</v>
      </c>
      <c r="G961" s="5" t="s">
        <v>46</v>
      </c>
      <c r="H961" s="5" t="s">
        <v>37</v>
      </c>
      <c r="I961" s="14">
        <v>17899.71</v>
      </c>
      <c r="J961" s="7">
        <v>15000</v>
      </c>
      <c r="K961" s="5" t="s">
        <v>19</v>
      </c>
      <c r="L961" s="5" t="s">
        <v>20</v>
      </c>
      <c r="M961" s="17">
        <f t="shared" si="42"/>
        <v>2899.7099999999991</v>
      </c>
      <c r="N961" s="15">
        <f t="shared" si="43"/>
        <v>-17899.71</v>
      </c>
      <c r="O961" t="str">
        <f t="shared" si="44"/>
        <v>Yes</v>
      </c>
    </row>
    <row r="962" spans="1:15" x14ac:dyDescent="0.3">
      <c r="A962" s="2" t="s">
        <v>1080</v>
      </c>
      <c r="B962" s="3">
        <v>45818</v>
      </c>
      <c r="C962" s="2" t="s">
        <v>1058</v>
      </c>
      <c r="D962" s="2" t="s">
        <v>14</v>
      </c>
      <c r="E962" s="2" t="s">
        <v>34</v>
      </c>
      <c r="F962" s="2" t="s">
        <v>157</v>
      </c>
      <c r="G962" s="2" t="s">
        <v>158</v>
      </c>
      <c r="H962" s="2" t="s">
        <v>52</v>
      </c>
      <c r="I962" s="12">
        <v>2878.43</v>
      </c>
      <c r="J962" s="4">
        <v>4000</v>
      </c>
      <c r="K962" s="2" t="s">
        <v>38</v>
      </c>
      <c r="L962" s="2" t="s">
        <v>27</v>
      </c>
      <c r="M962" s="17">
        <f t="shared" si="42"/>
        <v>-1121.5700000000002</v>
      </c>
      <c r="N962" s="15">
        <f t="shared" si="43"/>
        <v>-2878.43</v>
      </c>
      <c r="O962" t="str">
        <f t="shared" si="44"/>
        <v>No</v>
      </c>
    </row>
    <row r="963" spans="1:15" x14ac:dyDescent="0.3">
      <c r="A963" s="5" t="s">
        <v>1081</v>
      </c>
      <c r="B963" s="6">
        <v>45819</v>
      </c>
      <c r="C963" s="5" t="s">
        <v>1058</v>
      </c>
      <c r="D963" s="5" t="s">
        <v>14</v>
      </c>
      <c r="E963" s="5" t="s">
        <v>40</v>
      </c>
      <c r="F963" s="5" t="s">
        <v>41</v>
      </c>
      <c r="G963" s="5" t="s">
        <v>42</v>
      </c>
      <c r="H963" s="5" t="s">
        <v>18</v>
      </c>
      <c r="I963" s="14">
        <v>6597.07</v>
      </c>
      <c r="J963" s="7">
        <v>6000</v>
      </c>
      <c r="K963" s="5" t="s">
        <v>26</v>
      </c>
      <c r="L963" s="5" t="s">
        <v>27</v>
      </c>
      <c r="M963" s="17">
        <f t="shared" ref="M963:M1001" si="45">IF(J963=0,"0",I963-J963)</f>
        <v>597.06999999999971</v>
      </c>
      <c r="N963" s="15">
        <f t="shared" ref="N963:N1001" si="46">IF(D963="Income",I963,-I963)</f>
        <v>-6597.07</v>
      </c>
      <c r="O963" t="str">
        <f t="shared" ref="O963:O1001" si="47">IF(M963&gt;0,"Yes","No")</f>
        <v>Yes</v>
      </c>
    </row>
    <row r="964" spans="1:15" x14ac:dyDescent="0.3">
      <c r="A964" s="2" t="s">
        <v>1082</v>
      </c>
      <c r="B964" s="3">
        <v>45820</v>
      </c>
      <c r="C964" s="2" t="s">
        <v>1058</v>
      </c>
      <c r="D964" s="2" t="s">
        <v>14</v>
      </c>
      <c r="E964" s="2" t="s">
        <v>40</v>
      </c>
      <c r="F964" s="2" t="s">
        <v>41</v>
      </c>
      <c r="G964" s="2" t="s">
        <v>42</v>
      </c>
      <c r="H964" s="2" t="s">
        <v>32</v>
      </c>
      <c r="I964" s="12">
        <v>5349.7</v>
      </c>
      <c r="J964" s="4">
        <v>6000</v>
      </c>
      <c r="K964" s="2" t="s">
        <v>19</v>
      </c>
      <c r="L964" s="2" t="s">
        <v>27</v>
      </c>
      <c r="M964" s="17">
        <f t="shared" si="45"/>
        <v>-650.30000000000018</v>
      </c>
      <c r="N964" s="15">
        <f t="shared" si="46"/>
        <v>-5349.7</v>
      </c>
      <c r="O964" t="str">
        <f t="shared" si="47"/>
        <v>No</v>
      </c>
    </row>
    <row r="965" spans="1:15" x14ac:dyDescent="0.3">
      <c r="A965" s="5" t="s">
        <v>1083</v>
      </c>
      <c r="B965" s="6">
        <v>45820</v>
      </c>
      <c r="C965" s="5" t="s">
        <v>1058</v>
      </c>
      <c r="D965" s="5" t="s">
        <v>54</v>
      </c>
      <c r="E965" s="5" t="s">
        <v>55</v>
      </c>
      <c r="F965" s="5" t="s">
        <v>56</v>
      </c>
      <c r="G965" s="5" t="s">
        <v>57</v>
      </c>
      <c r="H965" s="5" t="s">
        <v>18</v>
      </c>
      <c r="I965" s="14">
        <v>44917.74</v>
      </c>
      <c r="J965" s="7">
        <v>0</v>
      </c>
      <c r="K965" s="5" t="s">
        <v>26</v>
      </c>
      <c r="L965" s="5" t="s">
        <v>20</v>
      </c>
      <c r="M965" s="17" t="str">
        <f t="shared" si="45"/>
        <v>0</v>
      </c>
      <c r="N965" s="15">
        <f t="shared" si="46"/>
        <v>44917.74</v>
      </c>
      <c r="O965" t="str">
        <f t="shared" si="47"/>
        <v>Yes</v>
      </c>
    </row>
    <row r="966" spans="1:15" x14ac:dyDescent="0.3">
      <c r="A966" s="2" t="s">
        <v>1084</v>
      </c>
      <c r="B966" s="3">
        <v>45820</v>
      </c>
      <c r="C966" s="2" t="s">
        <v>1058</v>
      </c>
      <c r="D966" s="2" t="s">
        <v>14</v>
      </c>
      <c r="E966" s="2" t="s">
        <v>112</v>
      </c>
      <c r="F966" s="2" t="s">
        <v>113</v>
      </c>
      <c r="G966" s="2" t="s">
        <v>114</v>
      </c>
      <c r="H966" s="2" t="s">
        <v>37</v>
      </c>
      <c r="I966" s="12">
        <v>5450.5</v>
      </c>
      <c r="J966" s="4">
        <v>8000</v>
      </c>
      <c r="K966" s="2" t="s">
        <v>38</v>
      </c>
      <c r="L966" s="2" t="s">
        <v>20</v>
      </c>
      <c r="M966" s="17">
        <f t="shared" si="45"/>
        <v>-2549.5</v>
      </c>
      <c r="N966" s="15">
        <f t="shared" si="46"/>
        <v>-5450.5</v>
      </c>
      <c r="O966" t="str">
        <f t="shared" si="47"/>
        <v>No</v>
      </c>
    </row>
    <row r="967" spans="1:15" x14ac:dyDescent="0.3">
      <c r="A967" s="5" t="s">
        <v>1085</v>
      </c>
      <c r="B967" s="6">
        <v>45821</v>
      </c>
      <c r="C967" s="5" t="s">
        <v>1058</v>
      </c>
      <c r="D967" s="5" t="s">
        <v>54</v>
      </c>
      <c r="E967" s="5" t="s">
        <v>55</v>
      </c>
      <c r="F967" s="5" t="s">
        <v>56</v>
      </c>
      <c r="G967" s="5" t="s">
        <v>57</v>
      </c>
      <c r="H967" s="5" t="s">
        <v>18</v>
      </c>
      <c r="I967" s="14">
        <v>51362.25</v>
      </c>
      <c r="J967" s="7">
        <v>0</v>
      </c>
      <c r="K967" s="5" t="s">
        <v>19</v>
      </c>
      <c r="L967" s="5" t="s">
        <v>20</v>
      </c>
      <c r="M967" s="17" t="str">
        <f t="shared" si="45"/>
        <v>0</v>
      </c>
      <c r="N967" s="15">
        <f t="shared" si="46"/>
        <v>51362.25</v>
      </c>
      <c r="O967" t="str">
        <f t="shared" si="47"/>
        <v>Yes</v>
      </c>
    </row>
    <row r="968" spans="1:15" x14ac:dyDescent="0.3">
      <c r="A968" s="2" t="s">
        <v>1086</v>
      </c>
      <c r="B968" s="3">
        <v>45821</v>
      </c>
      <c r="C968" s="2" t="s">
        <v>1058</v>
      </c>
      <c r="D968" s="2" t="s">
        <v>14</v>
      </c>
      <c r="E968" s="2" t="s">
        <v>112</v>
      </c>
      <c r="F968" s="2" t="s">
        <v>135</v>
      </c>
      <c r="G968" s="2" t="s">
        <v>136</v>
      </c>
      <c r="H968" s="2" t="s">
        <v>37</v>
      </c>
      <c r="I968" s="12">
        <v>8558.89</v>
      </c>
      <c r="J968" s="4">
        <v>8000</v>
      </c>
      <c r="K968" s="2" t="s">
        <v>38</v>
      </c>
      <c r="L968" s="2" t="s">
        <v>20</v>
      </c>
      <c r="M968" s="17">
        <f t="shared" si="45"/>
        <v>558.88999999999942</v>
      </c>
      <c r="N968" s="15">
        <f t="shared" si="46"/>
        <v>-8558.89</v>
      </c>
      <c r="O968" t="str">
        <f t="shared" si="47"/>
        <v>Yes</v>
      </c>
    </row>
    <row r="969" spans="1:15" x14ac:dyDescent="0.3">
      <c r="A969" s="5" t="s">
        <v>1087</v>
      </c>
      <c r="B969" s="6">
        <v>45821</v>
      </c>
      <c r="C969" s="5" t="s">
        <v>1058</v>
      </c>
      <c r="D969" s="5" t="s">
        <v>14</v>
      </c>
      <c r="E969" s="5" t="s">
        <v>40</v>
      </c>
      <c r="F969" s="5" t="s">
        <v>97</v>
      </c>
      <c r="G969" s="5" t="s">
        <v>98</v>
      </c>
      <c r="H969" s="5" t="s">
        <v>37</v>
      </c>
      <c r="I969" s="14">
        <v>4140.45</v>
      </c>
      <c r="J969" s="7">
        <v>6000</v>
      </c>
      <c r="K969" s="5" t="s">
        <v>47</v>
      </c>
      <c r="L969" s="5" t="s">
        <v>27</v>
      </c>
      <c r="M969" s="17">
        <f t="shared" si="45"/>
        <v>-1859.5500000000002</v>
      </c>
      <c r="N969" s="15">
        <f t="shared" si="46"/>
        <v>-4140.45</v>
      </c>
      <c r="O969" t="str">
        <f t="shared" si="47"/>
        <v>No</v>
      </c>
    </row>
    <row r="970" spans="1:15" x14ac:dyDescent="0.3">
      <c r="A970" s="2" t="s">
        <v>1088</v>
      </c>
      <c r="B970" s="3">
        <v>45822</v>
      </c>
      <c r="C970" s="2" t="s">
        <v>1058</v>
      </c>
      <c r="D970" s="2" t="s">
        <v>54</v>
      </c>
      <c r="E970" s="2" t="s">
        <v>55</v>
      </c>
      <c r="F970" s="2" t="s">
        <v>56</v>
      </c>
      <c r="G970" s="2" t="s">
        <v>57</v>
      </c>
      <c r="H970" s="2" t="s">
        <v>37</v>
      </c>
      <c r="I970" s="12">
        <v>45085.08</v>
      </c>
      <c r="J970" s="4">
        <v>0</v>
      </c>
      <c r="K970" s="2" t="s">
        <v>47</v>
      </c>
      <c r="L970" s="2" t="s">
        <v>20</v>
      </c>
      <c r="M970" s="17" t="str">
        <f t="shared" si="45"/>
        <v>0</v>
      </c>
      <c r="N970" s="15">
        <f t="shared" si="46"/>
        <v>45085.08</v>
      </c>
      <c r="O970" t="str">
        <f t="shared" si="47"/>
        <v>Yes</v>
      </c>
    </row>
    <row r="971" spans="1:15" x14ac:dyDescent="0.3">
      <c r="A971" s="5" t="s">
        <v>1089</v>
      </c>
      <c r="B971" s="6">
        <v>45822</v>
      </c>
      <c r="C971" s="5" t="s">
        <v>1058</v>
      </c>
      <c r="D971" s="5" t="s">
        <v>14</v>
      </c>
      <c r="E971" s="5" t="s">
        <v>15</v>
      </c>
      <c r="F971" s="5" t="s">
        <v>16</v>
      </c>
      <c r="G971" s="5" t="s">
        <v>17</v>
      </c>
      <c r="H971" s="5" t="s">
        <v>37</v>
      </c>
      <c r="I971" s="14">
        <v>7928.99</v>
      </c>
      <c r="J971" s="7">
        <v>12000</v>
      </c>
      <c r="K971" s="5" t="s">
        <v>47</v>
      </c>
      <c r="L971" s="5" t="s">
        <v>20</v>
      </c>
      <c r="M971" s="17">
        <f t="shared" si="45"/>
        <v>-4071.01</v>
      </c>
      <c r="N971" s="15">
        <f t="shared" si="46"/>
        <v>-7928.99</v>
      </c>
      <c r="O971" t="str">
        <f t="shared" si="47"/>
        <v>No</v>
      </c>
    </row>
    <row r="972" spans="1:15" x14ac:dyDescent="0.3">
      <c r="A972" s="2" t="s">
        <v>1090</v>
      </c>
      <c r="B972" s="3">
        <v>45822</v>
      </c>
      <c r="C972" s="2" t="s">
        <v>1058</v>
      </c>
      <c r="D972" s="2" t="s">
        <v>14</v>
      </c>
      <c r="E972" s="2" t="s">
        <v>49</v>
      </c>
      <c r="F972" s="2" t="s">
        <v>180</v>
      </c>
      <c r="G972" s="2" t="s">
        <v>181</v>
      </c>
      <c r="H972" s="2" t="s">
        <v>37</v>
      </c>
      <c r="I972" s="12">
        <v>2606.77</v>
      </c>
      <c r="J972" s="4">
        <v>3500</v>
      </c>
      <c r="K972" s="2" t="s">
        <v>47</v>
      </c>
      <c r="L972" s="2" t="s">
        <v>27</v>
      </c>
      <c r="M972" s="17">
        <f t="shared" si="45"/>
        <v>-893.23</v>
      </c>
      <c r="N972" s="15">
        <f t="shared" si="46"/>
        <v>-2606.77</v>
      </c>
      <c r="O972" t="str">
        <f t="shared" si="47"/>
        <v>No</v>
      </c>
    </row>
    <row r="973" spans="1:15" x14ac:dyDescent="0.3">
      <c r="A973" s="5" t="s">
        <v>1091</v>
      </c>
      <c r="B973" s="6">
        <v>45823</v>
      </c>
      <c r="C973" s="5" t="s">
        <v>1058</v>
      </c>
      <c r="D973" s="5" t="s">
        <v>14</v>
      </c>
      <c r="E973" s="5" t="s">
        <v>44</v>
      </c>
      <c r="F973" s="5" t="s">
        <v>45</v>
      </c>
      <c r="G973" s="5" t="s">
        <v>46</v>
      </c>
      <c r="H973" s="5" t="s">
        <v>52</v>
      </c>
      <c r="I973" s="14">
        <v>8093.91</v>
      </c>
      <c r="J973" s="7">
        <v>15000</v>
      </c>
      <c r="K973" s="5" t="s">
        <v>19</v>
      </c>
      <c r="L973" s="5" t="s">
        <v>20</v>
      </c>
      <c r="M973" s="17">
        <f t="shared" si="45"/>
        <v>-6906.09</v>
      </c>
      <c r="N973" s="15">
        <f t="shared" si="46"/>
        <v>-8093.91</v>
      </c>
      <c r="O973" t="str">
        <f t="shared" si="47"/>
        <v>No</v>
      </c>
    </row>
    <row r="974" spans="1:15" x14ac:dyDescent="0.3">
      <c r="A974" s="2" t="s">
        <v>1092</v>
      </c>
      <c r="B974" s="3">
        <v>45825</v>
      </c>
      <c r="C974" s="2" t="s">
        <v>1058</v>
      </c>
      <c r="D974" s="2" t="s">
        <v>14</v>
      </c>
      <c r="E974" s="2" t="s">
        <v>112</v>
      </c>
      <c r="F974" s="2" t="s">
        <v>135</v>
      </c>
      <c r="G974" s="2" t="s">
        <v>136</v>
      </c>
      <c r="H974" s="2" t="s">
        <v>52</v>
      </c>
      <c r="I974" s="12">
        <v>7979.78</v>
      </c>
      <c r="J974" s="4">
        <v>8000</v>
      </c>
      <c r="K974" s="2" t="s">
        <v>26</v>
      </c>
      <c r="L974" s="2" t="s">
        <v>20</v>
      </c>
      <c r="M974" s="17">
        <f t="shared" si="45"/>
        <v>-20.220000000000255</v>
      </c>
      <c r="N974" s="15">
        <f t="shared" si="46"/>
        <v>-7979.78</v>
      </c>
      <c r="O974" t="str">
        <f t="shared" si="47"/>
        <v>No</v>
      </c>
    </row>
    <row r="975" spans="1:15" x14ac:dyDescent="0.3">
      <c r="A975" s="5" t="s">
        <v>1093</v>
      </c>
      <c r="B975" s="6">
        <v>45826</v>
      </c>
      <c r="C975" s="5" t="s">
        <v>1058</v>
      </c>
      <c r="D975" s="5" t="s">
        <v>14</v>
      </c>
      <c r="E975" s="5" t="s">
        <v>22</v>
      </c>
      <c r="F975" s="5" t="s">
        <v>23</v>
      </c>
      <c r="G975" s="5" t="s">
        <v>24</v>
      </c>
      <c r="H975" s="5" t="s">
        <v>37</v>
      </c>
      <c r="I975" s="14">
        <v>1594.95</v>
      </c>
      <c r="J975" s="7">
        <v>2500</v>
      </c>
      <c r="K975" s="5" t="s">
        <v>38</v>
      </c>
      <c r="L975" s="5" t="s">
        <v>27</v>
      </c>
      <c r="M975" s="17">
        <f t="shared" si="45"/>
        <v>-905.05</v>
      </c>
      <c r="N975" s="15">
        <f t="shared" si="46"/>
        <v>-1594.95</v>
      </c>
      <c r="O975" t="str">
        <f t="shared" si="47"/>
        <v>No</v>
      </c>
    </row>
    <row r="976" spans="1:15" x14ac:dyDescent="0.3">
      <c r="A976" s="2" t="s">
        <v>1094</v>
      </c>
      <c r="B976" s="3">
        <v>45826</v>
      </c>
      <c r="C976" s="2" t="s">
        <v>1058</v>
      </c>
      <c r="D976" s="2" t="s">
        <v>14</v>
      </c>
      <c r="E976" s="2" t="s">
        <v>44</v>
      </c>
      <c r="F976" s="2" t="s">
        <v>45</v>
      </c>
      <c r="G976" s="2" t="s">
        <v>46</v>
      </c>
      <c r="H976" s="2" t="s">
        <v>32</v>
      </c>
      <c r="I976" s="12">
        <v>11066.86</v>
      </c>
      <c r="J976" s="4">
        <v>15000</v>
      </c>
      <c r="K976" s="2" t="s">
        <v>38</v>
      </c>
      <c r="L976" s="2" t="s">
        <v>20</v>
      </c>
      <c r="M976" s="17">
        <f t="shared" si="45"/>
        <v>-3933.1399999999994</v>
      </c>
      <c r="N976" s="15">
        <f t="shared" si="46"/>
        <v>-11066.86</v>
      </c>
      <c r="O976" t="str">
        <f t="shared" si="47"/>
        <v>No</v>
      </c>
    </row>
    <row r="977" spans="1:15" x14ac:dyDescent="0.3">
      <c r="A977" s="5" t="s">
        <v>1095</v>
      </c>
      <c r="B977" s="6">
        <v>45827</v>
      </c>
      <c r="C977" s="5" t="s">
        <v>1058</v>
      </c>
      <c r="D977" s="5" t="s">
        <v>54</v>
      </c>
      <c r="E977" s="5" t="s">
        <v>55</v>
      </c>
      <c r="F977" s="5" t="s">
        <v>56</v>
      </c>
      <c r="G977" s="5" t="s">
        <v>57</v>
      </c>
      <c r="H977" s="5" t="s">
        <v>18</v>
      </c>
      <c r="I977" s="14">
        <v>40870.050000000003</v>
      </c>
      <c r="J977" s="7">
        <v>0</v>
      </c>
      <c r="K977" s="5" t="s">
        <v>26</v>
      </c>
      <c r="L977" s="5" t="s">
        <v>20</v>
      </c>
      <c r="M977" s="17" t="str">
        <f t="shared" si="45"/>
        <v>0</v>
      </c>
      <c r="N977" s="15">
        <f t="shared" si="46"/>
        <v>40870.050000000003</v>
      </c>
      <c r="O977" t="str">
        <f t="shared" si="47"/>
        <v>Yes</v>
      </c>
    </row>
    <row r="978" spans="1:15" x14ac:dyDescent="0.3">
      <c r="A978" s="2" t="s">
        <v>1096</v>
      </c>
      <c r="B978" s="3">
        <v>45827</v>
      </c>
      <c r="C978" s="2" t="s">
        <v>1058</v>
      </c>
      <c r="D978" s="2" t="s">
        <v>14</v>
      </c>
      <c r="E978" s="2" t="s">
        <v>29</v>
      </c>
      <c r="F978" s="2" t="s">
        <v>238</v>
      </c>
      <c r="G978" s="2" t="s">
        <v>239</v>
      </c>
      <c r="H978" s="2" t="s">
        <v>32</v>
      </c>
      <c r="I978" s="12">
        <v>3658.83</v>
      </c>
      <c r="J978" s="4">
        <v>3000</v>
      </c>
      <c r="K978" s="2" t="s">
        <v>26</v>
      </c>
      <c r="L978" s="2" t="s">
        <v>20</v>
      </c>
      <c r="M978" s="17">
        <f t="shared" si="45"/>
        <v>658.82999999999993</v>
      </c>
      <c r="N978" s="15">
        <f t="shared" si="46"/>
        <v>-3658.83</v>
      </c>
      <c r="O978" t="str">
        <f t="shared" si="47"/>
        <v>Yes</v>
      </c>
    </row>
    <row r="979" spans="1:15" x14ac:dyDescent="0.3">
      <c r="A979" s="5" t="s">
        <v>1097</v>
      </c>
      <c r="B979" s="6">
        <v>45827</v>
      </c>
      <c r="C979" s="5" t="s">
        <v>1058</v>
      </c>
      <c r="D979" s="5" t="s">
        <v>14</v>
      </c>
      <c r="E979" s="5" t="s">
        <v>44</v>
      </c>
      <c r="F979" s="5" t="s">
        <v>45</v>
      </c>
      <c r="G979" s="5" t="s">
        <v>46</v>
      </c>
      <c r="H979" s="5" t="s">
        <v>37</v>
      </c>
      <c r="I979" s="14">
        <v>8681.19</v>
      </c>
      <c r="J979" s="7">
        <v>15000</v>
      </c>
      <c r="K979" s="5" t="s">
        <v>19</v>
      </c>
      <c r="L979" s="5" t="s">
        <v>20</v>
      </c>
      <c r="M979" s="17">
        <f t="shared" si="45"/>
        <v>-6318.8099999999995</v>
      </c>
      <c r="N979" s="15">
        <f t="shared" si="46"/>
        <v>-8681.19</v>
      </c>
      <c r="O979" t="str">
        <f t="shared" si="47"/>
        <v>No</v>
      </c>
    </row>
    <row r="980" spans="1:15" x14ac:dyDescent="0.3">
      <c r="A980" s="2" t="s">
        <v>1098</v>
      </c>
      <c r="B980" s="3">
        <v>45827</v>
      </c>
      <c r="C980" s="2" t="s">
        <v>1058</v>
      </c>
      <c r="D980" s="2" t="s">
        <v>14</v>
      </c>
      <c r="E980" s="2" t="s">
        <v>44</v>
      </c>
      <c r="F980" s="2" t="s">
        <v>45</v>
      </c>
      <c r="G980" s="2" t="s">
        <v>46</v>
      </c>
      <c r="H980" s="2" t="s">
        <v>18</v>
      </c>
      <c r="I980" s="12">
        <v>10721.27</v>
      </c>
      <c r="J980" s="4">
        <v>15000</v>
      </c>
      <c r="K980" s="2" t="s">
        <v>47</v>
      </c>
      <c r="L980" s="2" t="s">
        <v>20</v>
      </c>
      <c r="M980" s="17">
        <f t="shared" si="45"/>
        <v>-4278.7299999999996</v>
      </c>
      <c r="N980" s="15">
        <f t="shared" si="46"/>
        <v>-10721.27</v>
      </c>
      <c r="O980" t="str">
        <f t="shared" si="47"/>
        <v>No</v>
      </c>
    </row>
    <row r="981" spans="1:15" x14ac:dyDescent="0.3">
      <c r="A981" s="5" t="s">
        <v>1099</v>
      </c>
      <c r="B981" s="6">
        <v>45828</v>
      </c>
      <c r="C981" s="5" t="s">
        <v>1058</v>
      </c>
      <c r="D981" s="5" t="s">
        <v>14</v>
      </c>
      <c r="E981" s="5" t="s">
        <v>15</v>
      </c>
      <c r="F981" s="5" t="s">
        <v>83</v>
      </c>
      <c r="G981" s="5" t="s">
        <v>84</v>
      </c>
      <c r="H981" s="5" t="s">
        <v>32</v>
      </c>
      <c r="I981" s="14">
        <v>13978.21</v>
      </c>
      <c r="J981" s="7">
        <v>12000</v>
      </c>
      <c r="K981" s="5" t="s">
        <v>19</v>
      </c>
      <c r="L981" s="5" t="s">
        <v>20</v>
      </c>
      <c r="M981" s="17">
        <f t="shared" si="45"/>
        <v>1978.2099999999991</v>
      </c>
      <c r="N981" s="15">
        <f t="shared" si="46"/>
        <v>-13978.21</v>
      </c>
      <c r="O981" t="str">
        <f t="shared" si="47"/>
        <v>Yes</v>
      </c>
    </row>
    <row r="982" spans="1:15" x14ac:dyDescent="0.3">
      <c r="A982" s="2" t="s">
        <v>1100</v>
      </c>
      <c r="B982" s="3">
        <v>45828</v>
      </c>
      <c r="C982" s="2" t="s">
        <v>1058</v>
      </c>
      <c r="D982" s="2" t="s">
        <v>14</v>
      </c>
      <c r="E982" s="2" t="s">
        <v>44</v>
      </c>
      <c r="F982" s="2" t="s">
        <v>45</v>
      </c>
      <c r="G982" s="2" t="s">
        <v>46</v>
      </c>
      <c r="H982" s="2" t="s">
        <v>37</v>
      </c>
      <c r="I982" s="12">
        <v>15570.73</v>
      </c>
      <c r="J982" s="4">
        <v>15000</v>
      </c>
      <c r="K982" s="2" t="s">
        <v>47</v>
      </c>
      <c r="L982" s="2" t="s">
        <v>20</v>
      </c>
      <c r="M982" s="17">
        <f t="shared" si="45"/>
        <v>570.72999999999956</v>
      </c>
      <c r="N982" s="15">
        <f t="shared" si="46"/>
        <v>-15570.73</v>
      </c>
      <c r="O982" t="str">
        <f t="shared" si="47"/>
        <v>Yes</v>
      </c>
    </row>
    <row r="983" spans="1:15" x14ac:dyDescent="0.3">
      <c r="A983" s="5" t="s">
        <v>1101</v>
      </c>
      <c r="B983" s="6">
        <v>45828</v>
      </c>
      <c r="C983" s="5" t="s">
        <v>1058</v>
      </c>
      <c r="D983" s="5" t="s">
        <v>14</v>
      </c>
      <c r="E983" s="5" t="s">
        <v>34</v>
      </c>
      <c r="F983" s="5" t="s">
        <v>35</v>
      </c>
      <c r="G983" s="5" t="s">
        <v>36</v>
      </c>
      <c r="H983" s="5" t="s">
        <v>37</v>
      </c>
      <c r="I983" s="14">
        <v>4273.1899999999996</v>
      </c>
      <c r="J983" s="7">
        <v>4000</v>
      </c>
      <c r="K983" s="5" t="s">
        <v>26</v>
      </c>
      <c r="L983" s="5" t="s">
        <v>20</v>
      </c>
      <c r="M983" s="17">
        <f t="shared" si="45"/>
        <v>273.1899999999996</v>
      </c>
      <c r="N983" s="15">
        <f t="shared" si="46"/>
        <v>-4273.1899999999996</v>
      </c>
      <c r="O983" t="str">
        <f t="shared" si="47"/>
        <v>Yes</v>
      </c>
    </row>
    <row r="984" spans="1:15" x14ac:dyDescent="0.3">
      <c r="A984" s="2" t="s">
        <v>1102</v>
      </c>
      <c r="B984" s="3">
        <v>45829</v>
      </c>
      <c r="C984" s="2" t="s">
        <v>1058</v>
      </c>
      <c r="D984" s="2" t="s">
        <v>14</v>
      </c>
      <c r="E984" s="2" t="s">
        <v>29</v>
      </c>
      <c r="F984" s="2" t="s">
        <v>109</v>
      </c>
      <c r="G984" s="2" t="s">
        <v>110</v>
      </c>
      <c r="H984" s="2" t="s">
        <v>37</v>
      </c>
      <c r="I984" s="12">
        <v>2360.15</v>
      </c>
      <c r="J984" s="4">
        <v>3000</v>
      </c>
      <c r="K984" s="2" t="s">
        <v>19</v>
      </c>
      <c r="L984" s="2" t="s">
        <v>20</v>
      </c>
      <c r="M984" s="17">
        <f t="shared" si="45"/>
        <v>-639.84999999999991</v>
      </c>
      <c r="N984" s="15">
        <f t="shared" si="46"/>
        <v>-2360.15</v>
      </c>
      <c r="O984" t="str">
        <f t="shared" si="47"/>
        <v>No</v>
      </c>
    </row>
    <row r="985" spans="1:15" x14ac:dyDescent="0.3">
      <c r="A985" s="5" t="s">
        <v>1103</v>
      </c>
      <c r="B985" s="6">
        <v>45829</v>
      </c>
      <c r="C985" s="5" t="s">
        <v>1058</v>
      </c>
      <c r="D985" s="5" t="s">
        <v>14</v>
      </c>
      <c r="E985" s="5" t="s">
        <v>112</v>
      </c>
      <c r="F985" s="5" t="s">
        <v>135</v>
      </c>
      <c r="G985" s="5" t="s">
        <v>136</v>
      </c>
      <c r="H985" s="5" t="s">
        <v>25</v>
      </c>
      <c r="I985" s="14">
        <v>6359.58</v>
      </c>
      <c r="J985" s="7">
        <v>8000</v>
      </c>
      <c r="K985" s="5" t="s">
        <v>38</v>
      </c>
      <c r="L985" s="5" t="s">
        <v>20</v>
      </c>
      <c r="M985" s="17">
        <f t="shared" si="45"/>
        <v>-1640.42</v>
      </c>
      <c r="N985" s="15">
        <f t="shared" si="46"/>
        <v>-6359.58</v>
      </c>
      <c r="O985" t="str">
        <f t="shared" si="47"/>
        <v>No</v>
      </c>
    </row>
    <row r="986" spans="1:15" x14ac:dyDescent="0.3">
      <c r="A986" s="2" t="s">
        <v>1104</v>
      </c>
      <c r="B986" s="3">
        <v>45830</v>
      </c>
      <c r="C986" s="2" t="s">
        <v>1058</v>
      </c>
      <c r="D986" s="2" t="s">
        <v>54</v>
      </c>
      <c r="E986" s="2" t="s">
        <v>87</v>
      </c>
      <c r="F986" s="2" t="s">
        <v>88</v>
      </c>
      <c r="G986" s="2" t="s">
        <v>89</v>
      </c>
      <c r="H986" s="2" t="s">
        <v>37</v>
      </c>
      <c r="I986" s="12">
        <v>6982.72</v>
      </c>
      <c r="J986" s="4">
        <v>0</v>
      </c>
      <c r="K986" s="2" t="s">
        <v>47</v>
      </c>
      <c r="L986" s="2" t="s">
        <v>27</v>
      </c>
      <c r="M986" s="17" t="str">
        <f t="shared" si="45"/>
        <v>0</v>
      </c>
      <c r="N986" s="15">
        <f t="shared" si="46"/>
        <v>6982.72</v>
      </c>
      <c r="O986" t="str">
        <f t="shared" si="47"/>
        <v>Yes</v>
      </c>
    </row>
    <row r="987" spans="1:15" x14ac:dyDescent="0.3">
      <c r="A987" s="5" t="s">
        <v>1105</v>
      </c>
      <c r="B987" s="6">
        <v>45830</v>
      </c>
      <c r="C987" s="5" t="s">
        <v>1058</v>
      </c>
      <c r="D987" s="5" t="s">
        <v>54</v>
      </c>
      <c r="E987" s="5" t="s">
        <v>55</v>
      </c>
      <c r="F987" s="5" t="s">
        <v>56</v>
      </c>
      <c r="G987" s="5" t="s">
        <v>57</v>
      </c>
      <c r="H987" s="5" t="s">
        <v>25</v>
      </c>
      <c r="I987" s="14">
        <v>41933.68</v>
      </c>
      <c r="J987" s="7">
        <v>0</v>
      </c>
      <c r="K987" s="5" t="s">
        <v>19</v>
      </c>
      <c r="L987" s="5" t="s">
        <v>20</v>
      </c>
      <c r="M987" s="17" t="str">
        <f t="shared" si="45"/>
        <v>0</v>
      </c>
      <c r="N987" s="15">
        <f t="shared" si="46"/>
        <v>41933.68</v>
      </c>
      <c r="O987" t="str">
        <f t="shared" si="47"/>
        <v>Yes</v>
      </c>
    </row>
    <row r="988" spans="1:15" x14ac:dyDescent="0.3">
      <c r="A988" s="2" t="s">
        <v>1106</v>
      </c>
      <c r="B988" s="3">
        <v>45831</v>
      </c>
      <c r="C988" s="2" t="s">
        <v>1058</v>
      </c>
      <c r="D988" s="2" t="s">
        <v>14</v>
      </c>
      <c r="E988" s="2" t="s">
        <v>40</v>
      </c>
      <c r="F988" s="2" t="s">
        <v>41</v>
      </c>
      <c r="G988" s="2" t="s">
        <v>42</v>
      </c>
      <c r="H988" s="2" t="s">
        <v>18</v>
      </c>
      <c r="I988" s="12">
        <v>5221.8599999999997</v>
      </c>
      <c r="J988" s="4">
        <v>6000</v>
      </c>
      <c r="K988" s="2" t="s">
        <v>38</v>
      </c>
      <c r="L988" s="2" t="s">
        <v>20</v>
      </c>
      <c r="M988" s="17">
        <f t="shared" si="45"/>
        <v>-778.14000000000033</v>
      </c>
      <c r="N988" s="15">
        <f t="shared" si="46"/>
        <v>-5221.8599999999997</v>
      </c>
      <c r="O988" t="str">
        <f t="shared" si="47"/>
        <v>No</v>
      </c>
    </row>
    <row r="989" spans="1:15" x14ac:dyDescent="0.3">
      <c r="A989" s="5" t="s">
        <v>1107</v>
      </c>
      <c r="B989" s="6">
        <v>45831</v>
      </c>
      <c r="C989" s="5" t="s">
        <v>1058</v>
      </c>
      <c r="D989" s="5" t="s">
        <v>14</v>
      </c>
      <c r="E989" s="5" t="s">
        <v>29</v>
      </c>
      <c r="F989" s="5" t="s">
        <v>30</v>
      </c>
      <c r="G989" s="5" t="s">
        <v>31</v>
      </c>
      <c r="H989" s="5" t="s">
        <v>25</v>
      </c>
      <c r="I989" s="14">
        <v>1504.55</v>
      </c>
      <c r="J989" s="7">
        <v>3000</v>
      </c>
      <c r="K989" s="5" t="s">
        <v>38</v>
      </c>
      <c r="L989" s="5" t="s">
        <v>20</v>
      </c>
      <c r="M989" s="17">
        <f t="shared" si="45"/>
        <v>-1495.45</v>
      </c>
      <c r="N989" s="15">
        <f t="shared" si="46"/>
        <v>-1504.55</v>
      </c>
      <c r="O989" t="str">
        <f t="shared" si="47"/>
        <v>No</v>
      </c>
    </row>
    <row r="990" spans="1:15" x14ac:dyDescent="0.3">
      <c r="A990" s="2" t="s">
        <v>1108</v>
      </c>
      <c r="B990" s="3">
        <v>45831</v>
      </c>
      <c r="C990" s="2" t="s">
        <v>1058</v>
      </c>
      <c r="D990" s="2" t="s">
        <v>14</v>
      </c>
      <c r="E990" s="2" t="s">
        <v>40</v>
      </c>
      <c r="F990" s="2" t="s">
        <v>41</v>
      </c>
      <c r="G990" s="2" t="s">
        <v>42</v>
      </c>
      <c r="H990" s="2" t="s">
        <v>25</v>
      </c>
      <c r="I990" s="12">
        <v>4881.45</v>
      </c>
      <c r="J990" s="4">
        <v>6000</v>
      </c>
      <c r="K990" s="2" t="s">
        <v>26</v>
      </c>
      <c r="L990" s="2" t="s">
        <v>20</v>
      </c>
      <c r="M990" s="17">
        <f t="shared" si="45"/>
        <v>-1118.5500000000002</v>
      </c>
      <c r="N990" s="15">
        <f t="shared" si="46"/>
        <v>-4881.45</v>
      </c>
      <c r="O990" t="str">
        <f t="shared" si="47"/>
        <v>No</v>
      </c>
    </row>
    <row r="991" spans="1:15" x14ac:dyDescent="0.3">
      <c r="A991" s="5" t="s">
        <v>1109</v>
      </c>
      <c r="B991" s="6">
        <v>45831</v>
      </c>
      <c r="C991" s="5" t="s">
        <v>1058</v>
      </c>
      <c r="D991" s="5" t="s">
        <v>54</v>
      </c>
      <c r="E991" s="5" t="s">
        <v>209</v>
      </c>
      <c r="F991" s="5" t="s">
        <v>314</v>
      </c>
      <c r="G991" s="5" t="s">
        <v>315</v>
      </c>
      <c r="H991" s="5" t="s">
        <v>52</v>
      </c>
      <c r="I991" s="14">
        <v>4684.43</v>
      </c>
      <c r="J991" s="7">
        <v>0</v>
      </c>
      <c r="K991" s="5" t="s">
        <v>19</v>
      </c>
      <c r="L991" s="5" t="s">
        <v>20</v>
      </c>
      <c r="M991" s="17" t="str">
        <f t="shared" si="45"/>
        <v>0</v>
      </c>
      <c r="N991" s="15">
        <f t="shared" si="46"/>
        <v>4684.43</v>
      </c>
      <c r="O991" t="str">
        <f t="shared" si="47"/>
        <v>Yes</v>
      </c>
    </row>
    <row r="992" spans="1:15" x14ac:dyDescent="0.3">
      <c r="A992" s="2" t="s">
        <v>1110</v>
      </c>
      <c r="B992" s="3">
        <v>45832</v>
      </c>
      <c r="C992" s="2" t="s">
        <v>1058</v>
      </c>
      <c r="D992" s="2" t="s">
        <v>54</v>
      </c>
      <c r="E992" s="2" t="s">
        <v>55</v>
      </c>
      <c r="F992" s="2" t="s">
        <v>56</v>
      </c>
      <c r="G992" s="2" t="s">
        <v>57</v>
      </c>
      <c r="H992" s="2" t="s">
        <v>52</v>
      </c>
      <c r="I992" s="12">
        <v>50744.23</v>
      </c>
      <c r="J992" s="4">
        <v>0</v>
      </c>
      <c r="K992" s="2" t="s">
        <v>47</v>
      </c>
      <c r="L992" s="2" t="s">
        <v>20</v>
      </c>
      <c r="M992" s="17" t="str">
        <f t="shared" si="45"/>
        <v>0</v>
      </c>
      <c r="N992" s="15">
        <f t="shared" si="46"/>
        <v>50744.23</v>
      </c>
      <c r="O992" t="str">
        <f t="shared" si="47"/>
        <v>Yes</v>
      </c>
    </row>
    <row r="993" spans="1:15" x14ac:dyDescent="0.3">
      <c r="A993" s="5" t="s">
        <v>1111</v>
      </c>
      <c r="B993" s="6">
        <v>45833</v>
      </c>
      <c r="C993" s="5" t="s">
        <v>1058</v>
      </c>
      <c r="D993" s="5" t="s">
        <v>14</v>
      </c>
      <c r="E993" s="5" t="s">
        <v>49</v>
      </c>
      <c r="F993" s="5" t="s">
        <v>77</v>
      </c>
      <c r="G993" s="5" t="s">
        <v>78</v>
      </c>
      <c r="H993" s="5" t="s">
        <v>37</v>
      </c>
      <c r="I993" s="14">
        <v>4077.71</v>
      </c>
      <c r="J993" s="7">
        <v>3500</v>
      </c>
      <c r="K993" s="5" t="s">
        <v>47</v>
      </c>
      <c r="L993" s="5" t="s">
        <v>20</v>
      </c>
      <c r="M993" s="17">
        <f t="shared" si="45"/>
        <v>577.71</v>
      </c>
      <c r="N993" s="15">
        <f t="shared" si="46"/>
        <v>-4077.71</v>
      </c>
      <c r="O993" t="str">
        <f t="shared" si="47"/>
        <v>Yes</v>
      </c>
    </row>
    <row r="994" spans="1:15" x14ac:dyDescent="0.3">
      <c r="A994" s="2" t="s">
        <v>1112</v>
      </c>
      <c r="B994" s="3">
        <v>45834</v>
      </c>
      <c r="C994" s="2" t="s">
        <v>1058</v>
      </c>
      <c r="D994" s="2" t="s">
        <v>14</v>
      </c>
      <c r="E994" s="2" t="s">
        <v>15</v>
      </c>
      <c r="F994" s="2" t="s">
        <v>60</v>
      </c>
      <c r="G994" s="2" t="s">
        <v>61</v>
      </c>
      <c r="H994" s="2" t="s">
        <v>37</v>
      </c>
      <c r="I994" s="12">
        <v>8105.77</v>
      </c>
      <c r="J994" s="4">
        <v>12000</v>
      </c>
      <c r="K994" s="2" t="s">
        <v>47</v>
      </c>
      <c r="L994" s="2" t="s">
        <v>20</v>
      </c>
      <c r="M994" s="17">
        <f t="shared" si="45"/>
        <v>-3894.2299999999996</v>
      </c>
      <c r="N994" s="15">
        <f t="shared" si="46"/>
        <v>-8105.77</v>
      </c>
      <c r="O994" t="str">
        <f t="shared" si="47"/>
        <v>No</v>
      </c>
    </row>
    <row r="995" spans="1:15" x14ac:dyDescent="0.3">
      <c r="A995" s="5" t="s">
        <v>1113</v>
      </c>
      <c r="B995" s="6">
        <v>45834</v>
      </c>
      <c r="C995" s="5" t="s">
        <v>1058</v>
      </c>
      <c r="D995" s="5" t="s">
        <v>14</v>
      </c>
      <c r="E995" s="5" t="s">
        <v>29</v>
      </c>
      <c r="F995" s="5" t="s">
        <v>80</v>
      </c>
      <c r="G995" s="5" t="s">
        <v>81</v>
      </c>
      <c r="H995" s="5" t="s">
        <v>37</v>
      </c>
      <c r="I995" s="14">
        <v>1912.07</v>
      </c>
      <c r="J995" s="7">
        <v>3000</v>
      </c>
      <c r="K995" s="5" t="s">
        <v>19</v>
      </c>
      <c r="L995" s="5" t="s">
        <v>20</v>
      </c>
      <c r="M995" s="17">
        <f t="shared" si="45"/>
        <v>-1087.93</v>
      </c>
      <c r="N995" s="15">
        <f t="shared" si="46"/>
        <v>-1912.07</v>
      </c>
      <c r="O995" t="str">
        <f t="shared" si="47"/>
        <v>No</v>
      </c>
    </row>
    <row r="996" spans="1:15" x14ac:dyDescent="0.3">
      <c r="A996" s="2" t="s">
        <v>1114</v>
      </c>
      <c r="B996" s="3">
        <v>45835</v>
      </c>
      <c r="C996" s="2" t="s">
        <v>1058</v>
      </c>
      <c r="D996" s="2" t="s">
        <v>14</v>
      </c>
      <c r="E996" s="2" t="s">
        <v>40</v>
      </c>
      <c r="F996" s="2" t="s">
        <v>97</v>
      </c>
      <c r="G996" s="2" t="s">
        <v>98</v>
      </c>
      <c r="H996" s="2" t="s">
        <v>25</v>
      </c>
      <c r="I996" s="12">
        <v>5985.95</v>
      </c>
      <c r="J996" s="4">
        <v>6000</v>
      </c>
      <c r="K996" s="2" t="s">
        <v>38</v>
      </c>
      <c r="L996" s="2" t="s">
        <v>27</v>
      </c>
      <c r="M996" s="17">
        <f t="shared" si="45"/>
        <v>-14.050000000000182</v>
      </c>
      <c r="N996" s="15">
        <f t="shared" si="46"/>
        <v>-5985.95</v>
      </c>
      <c r="O996" t="str">
        <f t="shared" si="47"/>
        <v>No</v>
      </c>
    </row>
    <row r="997" spans="1:15" x14ac:dyDescent="0.3">
      <c r="A997" s="5" t="s">
        <v>1115</v>
      </c>
      <c r="B997" s="6">
        <v>45835</v>
      </c>
      <c r="C997" s="5" t="s">
        <v>1058</v>
      </c>
      <c r="D997" s="5" t="s">
        <v>14</v>
      </c>
      <c r="E997" s="5" t="s">
        <v>112</v>
      </c>
      <c r="F997" s="5" t="s">
        <v>135</v>
      </c>
      <c r="G997" s="5" t="s">
        <v>136</v>
      </c>
      <c r="H997" s="5" t="s">
        <v>37</v>
      </c>
      <c r="I997" s="14">
        <v>9502.4599999999991</v>
      </c>
      <c r="J997" s="7">
        <v>8000</v>
      </c>
      <c r="K997" s="5" t="s">
        <v>38</v>
      </c>
      <c r="L997" s="5" t="s">
        <v>20</v>
      </c>
      <c r="M997" s="17">
        <f t="shared" si="45"/>
        <v>1502.4599999999991</v>
      </c>
      <c r="N997" s="15">
        <f t="shared" si="46"/>
        <v>-9502.4599999999991</v>
      </c>
      <c r="O997" t="str">
        <f t="shared" si="47"/>
        <v>Yes</v>
      </c>
    </row>
    <row r="998" spans="1:15" x14ac:dyDescent="0.3">
      <c r="A998" s="2" t="s">
        <v>1116</v>
      </c>
      <c r="B998" s="3">
        <v>45835</v>
      </c>
      <c r="C998" s="2" t="s">
        <v>1058</v>
      </c>
      <c r="D998" s="2" t="s">
        <v>14</v>
      </c>
      <c r="E998" s="2" t="s">
        <v>72</v>
      </c>
      <c r="F998" s="2" t="s">
        <v>132</v>
      </c>
      <c r="G998" s="2" t="s">
        <v>133</v>
      </c>
      <c r="H998" s="2" t="s">
        <v>25</v>
      </c>
      <c r="I998" s="12">
        <v>1132.02</v>
      </c>
      <c r="J998" s="4">
        <v>2000</v>
      </c>
      <c r="K998" s="2" t="s">
        <v>19</v>
      </c>
      <c r="L998" s="2" t="s">
        <v>27</v>
      </c>
      <c r="M998" s="17">
        <f t="shared" si="45"/>
        <v>-867.98</v>
      </c>
      <c r="N998" s="15">
        <f t="shared" si="46"/>
        <v>-1132.02</v>
      </c>
      <c r="O998" t="str">
        <f t="shared" si="47"/>
        <v>No</v>
      </c>
    </row>
    <row r="999" spans="1:15" x14ac:dyDescent="0.3">
      <c r="A999" s="5" t="s">
        <v>1117</v>
      </c>
      <c r="B999" s="6">
        <v>45835</v>
      </c>
      <c r="C999" s="5" t="s">
        <v>1058</v>
      </c>
      <c r="D999" s="5" t="s">
        <v>14</v>
      </c>
      <c r="E999" s="5" t="s">
        <v>40</v>
      </c>
      <c r="F999" s="5" t="s">
        <v>97</v>
      </c>
      <c r="G999" s="5" t="s">
        <v>98</v>
      </c>
      <c r="H999" s="5" t="s">
        <v>37</v>
      </c>
      <c r="I999" s="14">
        <v>7521.87</v>
      </c>
      <c r="J999" s="7">
        <v>6000</v>
      </c>
      <c r="K999" s="5" t="s">
        <v>26</v>
      </c>
      <c r="L999" s="5" t="s">
        <v>27</v>
      </c>
      <c r="M999" s="17">
        <f t="shared" si="45"/>
        <v>1521.87</v>
      </c>
      <c r="N999" s="15">
        <f t="shared" si="46"/>
        <v>-7521.87</v>
      </c>
      <c r="O999" t="str">
        <f t="shared" si="47"/>
        <v>Yes</v>
      </c>
    </row>
    <row r="1000" spans="1:15" x14ac:dyDescent="0.3">
      <c r="A1000" s="2" t="s">
        <v>1118</v>
      </c>
      <c r="B1000" s="3">
        <v>45835</v>
      </c>
      <c r="C1000" s="2" t="s">
        <v>1058</v>
      </c>
      <c r="D1000" s="2" t="s">
        <v>54</v>
      </c>
      <c r="E1000" s="2" t="s">
        <v>55</v>
      </c>
      <c r="F1000" s="2" t="s">
        <v>56</v>
      </c>
      <c r="G1000" s="2" t="s">
        <v>57</v>
      </c>
      <c r="H1000" s="2" t="s">
        <v>37</v>
      </c>
      <c r="I1000" s="12">
        <v>52017.78</v>
      </c>
      <c r="J1000" s="4">
        <v>0</v>
      </c>
      <c r="K1000" s="2" t="s">
        <v>26</v>
      </c>
      <c r="L1000" s="2" t="s">
        <v>20</v>
      </c>
      <c r="M1000" s="17" t="str">
        <f t="shared" si="45"/>
        <v>0</v>
      </c>
      <c r="N1000" s="15">
        <f t="shared" si="46"/>
        <v>52017.78</v>
      </c>
      <c r="O1000" t="str">
        <f t="shared" si="47"/>
        <v>Yes</v>
      </c>
    </row>
    <row r="1001" spans="1:15" x14ac:dyDescent="0.3">
      <c r="A1001" s="5" t="s">
        <v>1119</v>
      </c>
      <c r="B1001" s="6">
        <v>45835</v>
      </c>
      <c r="C1001" s="5" t="s">
        <v>1058</v>
      </c>
      <c r="D1001" s="5" t="s">
        <v>14</v>
      </c>
      <c r="E1001" s="5" t="s">
        <v>44</v>
      </c>
      <c r="F1001" s="5" t="s">
        <v>45</v>
      </c>
      <c r="G1001" s="5" t="s">
        <v>46</v>
      </c>
      <c r="H1001" s="5" t="s">
        <v>37</v>
      </c>
      <c r="I1001" s="14">
        <v>15077.13</v>
      </c>
      <c r="J1001" s="7">
        <v>15000</v>
      </c>
      <c r="K1001" s="5" t="s">
        <v>47</v>
      </c>
      <c r="L1001" s="5" t="s">
        <v>20</v>
      </c>
      <c r="M1001" s="17">
        <f t="shared" si="45"/>
        <v>77.1299999999992</v>
      </c>
      <c r="N1001" s="15">
        <f t="shared" si="46"/>
        <v>-15077.13</v>
      </c>
      <c r="O1001" t="str">
        <f t="shared" si="47"/>
        <v>Yes</v>
      </c>
    </row>
  </sheetData>
  <autoFilter ref="A1:L1001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396D-F077-4D9D-A8D2-40ECFCA63871}">
  <dimension ref="A1:B20"/>
  <sheetViews>
    <sheetView workbookViewId="0">
      <selection activeCell="F15" sqref="F15"/>
    </sheetView>
  </sheetViews>
  <sheetFormatPr defaultRowHeight="14.4" x14ac:dyDescent="0.3"/>
  <cols>
    <col min="1" max="1" width="26.44140625" customWidth="1"/>
    <col min="2" max="2" width="18.77734375" style="11" customWidth="1"/>
  </cols>
  <sheetData>
    <row r="1" spans="1:2" x14ac:dyDescent="0.3">
      <c r="A1" s="21" t="s">
        <v>1143</v>
      </c>
      <c r="B1" s="22" t="s">
        <v>1144</v>
      </c>
    </row>
    <row r="2" spans="1:2" x14ac:dyDescent="0.3">
      <c r="A2" s="23" t="s">
        <v>1145</v>
      </c>
      <c r="B2" s="24">
        <f>SUMIF(Transactions!D2:D1001,"Income",Transactions!I2:I1001)</f>
        <v>5871180.5000000028</v>
      </c>
    </row>
    <row r="3" spans="1:2" x14ac:dyDescent="0.3">
      <c r="A3" s="23" t="s">
        <v>1146</v>
      </c>
      <c r="B3" s="24">
        <f>SUMIF(Transactions!D2:D1001,"Expense",Transactions!I2:I1001)</f>
        <v>5012021.68</v>
      </c>
    </row>
    <row r="4" spans="1:2" x14ac:dyDescent="0.3">
      <c r="A4" s="23" t="s">
        <v>1147</v>
      </c>
      <c r="B4" s="24">
        <f>B2-B3</f>
        <v>859158.82000000309</v>
      </c>
    </row>
    <row r="5" spans="1:2" x14ac:dyDescent="0.3">
      <c r="A5" s="23" t="s">
        <v>1148</v>
      </c>
      <c r="B5" s="25">
        <f>B4/B2</f>
        <v>0.14633493553809199</v>
      </c>
    </row>
    <row r="6" spans="1:2" x14ac:dyDescent="0.3">
      <c r="A6" s="23" t="s">
        <v>1149</v>
      </c>
      <c r="B6" s="23">
        <f>COUNTIF(Transactions!O2:O1001,"Yes")</f>
        <v>491</v>
      </c>
    </row>
    <row r="7" spans="1:2" x14ac:dyDescent="0.3">
      <c r="A7" s="26" t="s">
        <v>1152</v>
      </c>
      <c r="B7" s="27" t="str">
        <f>INDEX(A11:A20,MATCH(MAX(B11:B20),B11:B20,0))</f>
        <v>Rent</v>
      </c>
    </row>
    <row r="9" spans="1:2" x14ac:dyDescent="0.3">
      <c r="A9" s="20" t="s">
        <v>1150</v>
      </c>
    </row>
    <row r="10" spans="1:2" x14ac:dyDescent="0.3">
      <c r="A10" t="s">
        <v>4</v>
      </c>
      <c r="B10" t="s">
        <v>1151</v>
      </c>
    </row>
    <row r="11" spans="1:2" x14ac:dyDescent="0.3">
      <c r="A11" t="s">
        <v>44</v>
      </c>
      <c r="B11" s="11">
        <f>SUMIF(Transactions!$E$2:$E$1001,A11,Transactions!$I$2:$I$1001)</f>
        <v>1341567.8799999994</v>
      </c>
    </row>
    <row r="12" spans="1:2" x14ac:dyDescent="0.3">
      <c r="A12" t="s">
        <v>40</v>
      </c>
      <c r="B12" s="11">
        <f>SUMIF(Transactions!$E$2:$E$1001,A12,Transactions!$I$2:$I$1001)</f>
        <v>646572.01000000013</v>
      </c>
    </row>
    <row r="13" spans="1:2" x14ac:dyDescent="0.3">
      <c r="A13" t="s">
        <v>29</v>
      </c>
      <c r="B13" s="11">
        <f>SUMIF(Transactions!$E$2:$E$1001,A13,Transactions!$I$2:$I$1001)</f>
        <v>223500.02</v>
      </c>
    </row>
    <row r="14" spans="1:2" x14ac:dyDescent="0.3">
      <c r="A14" t="s">
        <v>49</v>
      </c>
      <c r="B14" s="11">
        <f>SUMIF(Transactions!$E$2:$E$1001,A14,Transactions!$I$2:$I$1001)</f>
        <v>249290.24999999988</v>
      </c>
    </row>
    <row r="15" spans="1:2" x14ac:dyDescent="0.3">
      <c r="A15" t="s">
        <v>22</v>
      </c>
      <c r="B15" s="11">
        <f>SUMIF(Transactions!$E$2:$E$1001,A15,Transactions!$I$2:$I$1001)</f>
        <v>177742.46000000005</v>
      </c>
    </row>
    <row r="16" spans="1:2" x14ac:dyDescent="0.3">
      <c r="A16" t="s">
        <v>104</v>
      </c>
      <c r="B16" s="11">
        <f>SUMIF(Transactions!$E$2:$E$1001,A16,Transactions!$I$2:$I$1001)</f>
        <v>124251.52000000005</v>
      </c>
    </row>
    <row r="17" spans="1:2" x14ac:dyDescent="0.3">
      <c r="A17" t="s">
        <v>34</v>
      </c>
      <c r="B17" s="11">
        <f>SUMIF(Transactions!$E$2:$E$1001,A17,Transactions!$I$2:$I$1001)</f>
        <v>273040.45999999996</v>
      </c>
    </row>
    <row r="18" spans="1:2" x14ac:dyDescent="0.3">
      <c r="A18" t="s">
        <v>112</v>
      </c>
      <c r="B18" s="11">
        <f>SUMIF(Transactions!$E$2:$E$1001,A18,Transactions!$I$2:$I$1001)</f>
        <v>672058.85999999987</v>
      </c>
    </row>
    <row r="19" spans="1:2" x14ac:dyDescent="0.3">
      <c r="A19" t="s">
        <v>15</v>
      </c>
      <c r="B19" s="11">
        <f>SUMIF(Transactions!$E$2:$E$1001,A19,Transactions!$I$2:$I$1001)</f>
        <v>1242239.1200000003</v>
      </c>
    </row>
    <row r="20" spans="1:2" x14ac:dyDescent="0.3">
      <c r="A20" t="s">
        <v>72</v>
      </c>
      <c r="B20" s="11">
        <f>SUMIF(Transactions!$E$2:$E$1001,A20,Transactions!$I$2:$I$1001)</f>
        <v>61759.099999999984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04C0-7B60-4822-819D-C52BACEA2F5C}">
  <dimension ref="A3:C14"/>
  <sheetViews>
    <sheetView workbookViewId="0">
      <selection activeCell="B25" sqref="B25"/>
    </sheetView>
  </sheetViews>
  <sheetFormatPr defaultRowHeight="14.4" x14ac:dyDescent="0.3"/>
  <cols>
    <col min="1" max="1" width="16.88671875" bestFit="1" customWidth="1"/>
    <col min="2" max="2" width="13.88671875" bestFit="1" customWidth="1"/>
    <col min="3" max="3" width="23.21875" bestFit="1" customWidth="1"/>
  </cols>
  <sheetData>
    <row r="3" spans="1:3" x14ac:dyDescent="0.3">
      <c r="A3" s="8" t="s">
        <v>1120</v>
      </c>
      <c r="B3" t="s">
        <v>1142</v>
      </c>
      <c r="C3" t="s">
        <v>1141</v>
      </c>
    </row>
    <row r="4" spans="1:3" x14ac:dyDescent="0.3">
      <c r="A4" s="9" t="s">
        <v>72</v>
      </c>
      <c r="B4" s="11">
        <v>61759.099999999991</v>
      </c>
      <c r="C4" s="19">
        <v>68000</v>
      </c>
    </row>
    <row r="5" spans="1:3" x14ac:dyDescent="0.3">
      <c r="A5" s="9" t="s">
        <v>22</v>
      </c>
      <c r="B5" s="11">
        <v>177742.46</v>
      </c>
      <c r="C5" s="19">
        <v>200000</v>
      </c>
    </row>
    <row r="6" spans="1:3" x14ac:dyDescent="0.3">
      <c r="A6" s="9" t="s">
        <v>40</v>
      </c>
      <c r="B6" s="11">
        <v>646572.01000000013</v>
      </c>
      <c r="C6" s="19">
        <v>720000</v>
      </c>
    </row>
    <row r="7" spans="1:3" x14ac:dyDescent="0.3">
      <c r="A7" s="9" t="s">
        <v>104</v>
      </c>
      <c r="B7" s="11">
        <v>124251.52000000002</v>
      </c>
      <c r="C7" s="19">
        <v>136000</v>
      </c>
    </row>
    <row r="8" spans="1:3" x14ac:dyDescent="0.3">
      <c r="A8" s="9" t="s">
        <v>15</v>
      </c>
      <c r="B8" s="11">
        <v>1242239.1200000006</v>
      </c>
      <c r="C8" s="19">
        <v>1344000</v>
      </c>
    </row>
    <row r="9" spans="1:3" x14ac:dyDescent="0.3">
      <c r="A9" s="9" t="s">
        <v>44</v>
      </c>
      <c r="B9" s="11">
        <v>1341567.8799999994</v>
      </c>
      <c r="C9" s="19">
        <v>1485000</v>
      </c>
    </row>
    <row r="10" spans="1:3" x14ac:dyDescent="0.3">
      <c r="A10" s="9" t="s">
        <v>112</v>
      </c>
      <c r="B10" s="11">
        <v>672058.85999999987</v>
      </c>
      <c r="C10" s="19">
        <v>720000</v>
      </c>
    </row>
    <row r="11" spans="1:3" x14ac:dyDescent="0.3">
      <c r="A11" s="9" t="s">
        <v>34</v>
      </c>
      <c r="B11" s="11">
        <v>273040.45999999996</v>
      </c>
      <c r="C11" s="19">
        <v>292000</v>
      </c>
    </row>
    <row r="12" spans="1:3" x14ac:dyDescent="0.3">
      <c r="A12" s="9" t="s">
        <v>49</v>
      </c>
      <c r="B12" s="11">
        <v>249290.24999999988</v>
      </c>
      <c r="C12" s="19">
        <v>280000</v>
      </c>
    </row>
    <row r="13" spans="1:3" x14ac:dyDescent="0.3">
      <c r="A13" s="9" t="s">
        <v>29</v>
      </c>
      <c r="B13" s="11">
        <v>223500.02000000002</v>
      </c>
      <c r="C13" s="19">
        <v>249000</v>
      </c>
    </row>
    <row r="14" spans="1:3" x14ac:dyDescent="0.3">
      <c r="A14" s="9" t="s">
        <v>1121</v>
      </c>
      <c r="B14" s="11">
        <v>5012021.68</v>
      </c>
      <c r="C14" s="19">
        <v>5494000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F0EE-729E-46C4-B37B-3D27D7391519}">
  <dimension ref="A3:B22"/>
  <sheetViews>
    <sheetView workbookViewId="0">
      <selection activeCell="C26" sqref="C26"/>
    </sheetView>
  </sheetViews>
  <sheetFormatPr defaultRowHeight="14.4" x14ac:dyDescent="0.3"/>
  <cols>
    <col min="1" max="1" width="21" bestFit="1" customWidth="1"/>
    <col min="2" max="2" width="14.44140625" bestFit="1" customWidth="1"/>
  </cols>
  <sheetData>
    <row r="3" spans="1:2" x14ac:dyDescent="0.3">
      <c r="A3" s="8" t="s">
        <v>1120</v>
      </c>
      <c r="B3" t="s">
        <v>1128</v>
      </c>
    </row>
    <row r="4" spans="1:2" x14ac:dyDescent="0.3">
      <c r="A4" s="9" t="s">
        <v>20</v>
      </c>
      <c r="B4" s="11">
        <v>3747262.99</v>
      </c>
    </row>
    <row r="5" spans="1:2" x14ac:dyDescent="0.3">
      <c r="A5" s="10" t="s">
        <v>72</v>
      </c>
      <c r="B5" s="11">
        <v>3650.9100000000003</v>
      </c>
    </row>
    <row r="6" spans="1:2" x14ac:dyDescent="0.3">
      <c r="A6" s="10" t="s">
        <v>22</v>
      </c>
      <c r="B6" s="11">
        <v>35450.630000000005</v>
      </c>
    </row>
    <row r="7" spans="1:2" x14ac:dyDescent="0.3">
      <c r="A7" s="10" t="s">
        <v>40</v>
      </c>
      <c r="B7" s="11">
        <v>117380.13999999998</v>
      </c>
    </row>
    <row r="8" spans="1:2" x14ac:dyDescent="0.3">
      <c r="A8" s="10" t="s">
        <v>104</v>
      </c>
      <c r="B8" s="11">
        <v>25201.4</v>
      </c>
    </row>
    <row r="9" spans="1:2" x14ac:dyDescent="0.3">
      <c r="A9" s="10" t="s">
        <v>15</v>
      </c>
      <c r="B9" s="11">
        <v>1242239.1200000006</v>
      </c>
    </row>
    <row r="10" spans="1:2" x14ac:dyDescent="0.3">
      <c r="A10" s="10" t="s">
        <v>44</v>
      </c>
      <c r="B10" s="11">
        <v>1341567.8799999994</v>
      </c>
    </row>
    <row r="11" spans="1:2" x14ac:dyDescent="0.3">
      <c r="A11" s="10" t="s">
        <v>112</v>
      </c>
      <c r="B11" s="11">
        <v>672058.85999999987</v>
      </c>
    </row>
    <row r="12" spans="1:2" x14ac:dyDescent="0.3">
      <c r="A12" s="10" t="s">
        <v>34</v>
      </c>
      <c r="B12" s="11">
        <v>66457.850000000006</v>
      </c>
    </row>
    <row r="13" spans="1:2" x14ac:dyDescent="0.3">
      <c r="A13" s="10" t="s">
        <v>49</v>
      </c>
      <c r="B13" s="11">
        <v>19756.18</v>
      </c>
    </row>
    <row r="14" spans="1:2" x14ac:dyDescent="0.3">
      <c r="A14" s="10" t="s">
        <v>29</v>
      </c>
      <c r="B14" s="11">
        <v>223500.02000000002</v>
      </c>
    </row>
    <row r="15" spans="1:2" x14ac:dyDescent="0.3">
      <c r="A15" s="9" t="s">
        <v>27</v>
      </c>
      <c r="B15" s="11">
        <v>1264758.6900000002</v>
      </c>
    </row>
    <row r="16" spans="1:2" x14ac:dyDescent="0.3">
      <c r="A16" s="10" t="s">
        <v>72</v>
      </c>
      <c r="B16" s="11">
        <v>58108.189999999995</v>
      </c>
    </row>
    <row r="17" spans="1:2" x14ac:dyDescent="0.3">
      <c r="A17" s="10" t="s">
        <v>22</v>
      </c>
      <c r="B17" s="11">
        <v>142291.83000000002</v>
      </c>
    </row>
    <row r="18" spans="1:2" x14ac:dyDescent="0.3">
      <c r="A18" s="10" t="s">
        <v>40</v>
      </c>
      <c r="B18" s="11">
        <v>529191.87000000023</v>
      </c>
    </row>
    <row r="19" spans="1:2" x14ac:dyDescent="0.3">
      <c r="A19" s="10" t="s">
        <v>104</v>
      </c>
      <c r="B19" s="11">
        <v>99050.120000000024</v>
      </c>
    </row>
    <row r="20" spans="1:2" x14ac:dyDescent="0.3">
      <c r="A20" s="10" t="s">
        <v>34</v>
      </c>
      <c r="B20" s="11">
        <v>206582.60999999996</v>
      </c>
    </row>
    <row r="21" spans="1:2" x14ac:dyDescent="0.3">
      <c r="A21" s="10" t="s">
        <v>49</v>
      </c>
      <c r="B21" s="11">
        <v>229534.06999999992</v>
      </c>
    </row>
    <row r="22" spans="1:2" x14ac:dyDescent="0.3">
      <c r="A22" s="9" t="s">
        <v>1121</v>
      </c>
      <c r="B22" s="11">
        <v>5012021.6800000016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3B8D-42E5-4310-87D9-E7A63EB90EFA}">
  <dimension ref="A3:D25"/>
  <sheetViews>
    <sheetView workbookViewId="0">
      <selection activeCell="A7" sqref="A3:D25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13.88671875" bestFit="1" customWidth="1"/>
    <col min="4" max="4" width="15.44140625" bestFit="1" customWidth="1"/>
  </cols>
  <sheetData>
    <row r="3" spans="1:4" x14ac:dyDescent="0.3">
      <c r="A3" s="8" t="s">
        <v>1128</v>
      </c>
      <c r="B3" s="8" t="s">
        <v>1125</v>
      </c>
    </row>
    <row r="4" spans="1:4" x14ac:dyDescent="0.3">
      <c r="A4" s="8" t="s">
        <v>1120</v>
      </c>
      <c r="B4" t="s">
        <v>14</v>
      </c>
      <c r="C4" t="s">
        <v>54</v>
      </c>
      <c r="D4" t="s">
        <v>1121</v>
      </c>
    </row>
    <row r="5" spans="1:4" x14ac:dyDescent="0.3">
      <c r="A5" s="9" t="s">
        <v>1126</v>
      </c>
      <c r="B5" s="11">
        <v>3420132.2999999993</v>
      </c>
      <c r="C5" s="11">
        <v>4052766.37</v>
      </c>
      <c r="D5" s="11">
        <v>7472898.6699999999</v>
      </c>
    </row>
    <row r="6" spans="1:4" x14ac:dyDescent="0.3">
      <c r="A6" s="10" t="s">
        <v>1129</v>
      </c>
      <c r="B6" s="11">
        <v>257734.58999999997</v>
      </c>
      <c r="C6" s="11">
        <v>453311.73000000004</v>
      </c>
      <c r="D6" s="11">
        <v>711046.32000000007</v>
      </c>
    </row>
    <row r="7" spans="1:4" x14ac:dyDescent="0.3">
      <c r="A7" s="10" t="s">
        <v>1130</v>
      </c>
      <c r="B7" s="11">
        <v>318652.67999999988</v>
      </c>
      <c r="C7" s="11">
        <v>379354.46</v>
      </c>
      <c r="D7" s="11">
        <v>698007.1399999999</v>
      </c>
    </row>
    <row r="8" spans="1:4" x14ac:dyDescent="0.3">
      <c r="A8" s="10" t="s">
        <v>1131</v>
      </c>
      <c r="B8" s="11">
        <v>313100.68</v>
      </c>
      <c r="C8" s="11">
        <v>278131.33</v>
      </c>
      <c r="D8" s="11">
        <v>591232.01</v>
      </c>
    </row>
    <row r="9" spans="1:4" x14ac:dyDescent="0.3">
      <c r="A9" s="10" t="s">
        <v>1132</v>
      </c>
      <c r="B9" s="11">
        <v>307327.2</v>
      </c>
      <c r="C9" s="11">
        <v>388203.17000000004</v>
      </c>
      <c r="D9" s="11">
        <v>695530.37000000011</v>
      </c>
    </row>
    <row r="10" spans="1:4" x14ac:dyDescent="0.3">
      <c r="A10" s="10" t="s">
        <v>1133</v>
      </c>
      <c r="B10" s="11">
        <v>181933.56999999998</v>
      </c>
      <c r="C10" s="11">
        <v>262754.40999999997</v>
      </c>
      <c r="D10" s="11">
        <v>444687.98</v>
      </c>
    </row>
    <row r="11" spans="1:4" x14ac:dyDescent="0.3">
      <c r="A11" s="10" t="s">
        <v>1134</v>
      </c>
      <c r="B11" s="11">
        <v>261055.27999999997</v>
      </c>
      <c r="C11" s="11">
        <v>372829.77999999997</v>
      </c>
      <c r="D11" s="11">
        <v>633885.05999999994</v>
      </c>
    </row>
    <row r="12" spans="1:4" x14ac:dyDescent="0.3">
      <c r="A12" s="10" t="s">
        <v>1135</v>
      </c>
      <c r="B12" s="11">
        <v>263095.67</v>
      </c>
      <c r="C12" s="11">
        <v>365604.99</v>
      </c>
      <c r="D12" s="11">
        <v>628700.65999999992</v>
      </c>
    </row>
    <row r="13" spans="1:4" x14ac:dyDescent="0.3">
      <c r="A13" s="10" t="s">
        <v>1136</v>
      </c>
      <c r="B13" s="11">
        <v>252601.86000000004</v>
      </c>
      <c r="C13" s="11">
        <v>322980.42000000004</v>
      </c>
      <c r="D13" s="11">
        <v>575582.28</v>
      </c>
    </row>
    <row r="14" spans="1:4" x14ac:dyDescent="0.3">
      <c r="A14" s="10" t="s">
        <v>1137</v>
      </c>
      <c r="B14" s="11">
        <v>254904.44000000006</v>
      </c>
      <c r="C14" s="11">
        <v>255004.33000000002</v>
      </c>
      <c r="D14" s="11">
        <v>509908.77000000008</v>
      </c>
    </row>
    <row r="15" spans="1:4" x14ac:dyDescent="0.3">
      <c r="A15" s="10" t="s">
        <v>1138</v>
      </c>
      <c r="B15" s="11">
        <v>383381.87999999989</v>
      </c>
      <c r="C15" s="11">
        <v>305399.58999999997</v>
      </c>
      <c r="D15" s="11">
        <v>688781.46999999986</v>
      </c>
    </row>
    <row r="16" spans="1:4" x14ac:dyDescent="0.3">
      <c r="A16" s="10" t="s">
        <v>1139</v>
      </c>
      <c r="B16" s="11">
        <v>248573.12999999998</v>
      </c>
      <c r="C16" s="11">
        <v>314855.78999999998</v>
      </c>
      <c r="D16" s="11">
        <v>563428.91999999993</v>
      </c>
    </row>
    <row r="17" spans="1:4" x14ac:dyDescent="0.3">
      <c r="A17" s="10" t="s">
        <v>1140</v>
      </c>
      <c r="B17" s="11">
        <v>377771.31999999995</v>
      </c>
      <c r="C17" s="11">
        <v>354336.37</v>
      </c>
      <c r="D17" s="11">
        <v>732107.69</v>
      </c>
    </row>
    <row r="18" spans="1:4" x14ac:dyDescent="0.3">
      <c r="A18" s="9" t="s">
        <v>1127</v>
      </c>
      <c r="B18" s="11">
        <v>1591889.3800000001</v>
      </c>
      <c r="C18" s="11">
        <v>1818414.13</v>
      </c>
      <c r="D18" s="11">
        <v>3410303.5100000002</v>
      </c>
    </row>
    <row r="19" spans="1:4" x14ac:dyDescent="0.3">
      <c r="A19" s="10" t="s">
        <v>1129</v>
      </c>
      <c r="B19" s="11">
        <v>233261.77000000002</v>
      </c>
      <c r="C19" s="11">
        <v>181022.02</v>
      </c>
      <c r="D19" s="11">
        <v>414283.79000000004</v>
      </c>
    </row>
    <row r="20" spans="1:4" x14ac:dyDescent="0.3">
      <c r="A20" s="10" t="s">
        <v>1130</v>
      </c>
      <c r="B20" s="11">
        <v>216115.57999999996</v>
      </c>
      <c r="C20" s="11">
        <v>160558.93</v>
      </c>
      <c r="D20" s="11">
        <v>376674.50999999995</v>
      </c>
    </row>
    <row r="21" spans="1:4" x14ac:dyDescent="0.3">
      <c r="A21" s="10" t="s">
        <v>1131</v>
      </c>
      <c r="B21" s="11">
        <v>311032.87</v>
      </c>
      <c r="C21" s="11">
        <v>539555.32999999996</v>
      </c>
      <c r="D21" s="11">
        <v>850588.2</v>
      </c>
    </row>
    <row r="22" spans="1:4" x14ac:dyDescent="0.3">
      <c r="A22" s="10" t="s">
        <v>1132</v>
      </c>
      <c r="B22" s="11">
        <v>305265.89999999997</v>
      </c>
      <c r="C22" s="11">
        <v>231234.65000000002</v>
      </c>
      <c r="D22" s="11">
        <v>536500.55000000005</v>
      </c>
    </row>
    <row r="23" spans="1:4" x14ac:dyDescent="0.3">
      <c r="A23" s="10" t="s">
        <v>1133</v>
      </c>
      <c r="B23" s="11">
        <v>193399.38000000003</v>
      </c>
      <c r="C23" s="11">
        <v>353186.89999999997</v>
      </c>
      <c r="D23" s="11">
        <v>546586.28</v>
      </c>
    </row>
    <row r="24" spans="1:4" x14ac:dyDescent="0.3">
      <c r="A24" s="10" t="s">
        <v>1134</v>
      </c>
      <c r="B24" s="11">
        <v>332813.88000000006</v>
      </c>
      <c r="C24" s="11">
        <v>352856.30000000005</v>
      </c>
      <c r="D24" s="11">
        <v>685670.18000000017</v>
      </c>
    </row>
    <row r="25" spans="1:4" x14ac:dyDescent="0.3">
      <c r="A25" s="9" t="s">
        <v>1121</v>
      </c>
      <c r="B25" s="11">
        <v>5012021.68</v>
      </c>
      <c r="C25" s="11">
        <v>5871180.5</v>
      </c>
      <c r="D25" s="11">
        <v>10883202.18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FDBC-34AB-4180-AA98-1EEFA1CCB704}">
  <dimension ref="A3:B14"/>
  <sheetViews>
    <sheetView workbookViewId="0">
      <selection activeCell="A3" sqref="A3"/>
    </sheetView>
  </sheetViews>
  <sheetFormatPr defaultRowHeight="14.4" x14ac:dyDescent="0.3"/>
  <cols>
    <col min="1" max="1" width="20" bestFit="1" customWidth="1"/>
    <col min="2" max="2" width="14.44140625" bestFit="1" customWidth="1"/>
  </cols>
  <sheetData>
    <row r="3" spans="1:2" x14ac:dyDescent="0.3">
      <c r="A3" s="8" t="s">
        <v>1120</v>
      </c>
      <c r="B3" t="s">
        <v>1128</v>
      </c>
    </row>
    <row r="4" spans="1:2" x14ac:dyDescent="0.3">
      <c r="A4" s="9" t="s">
        <v>72</v>
      </c>
      <c r="B4" s="11">
        <v>61759.099999999991</v>
      </c>
    </row>
    <row r="5" spans="1:2" x14ac:dyDescent="0.3">
      <c r="A5" s="9" t="s">
        <v>22</v>
      </c>
      <c r="B5" s="11">
        <v>177742.46</v>
      </c>
    </row>
    <row r="6" spans="1:2" x14ac:dyDescent="0.3">
      <c r="A6" s="9" t="s">
        <v>40</v>
      </c>
      <c r="B6" s="11">
        <v>646572.01000000013</v>
      </c>
    </row>
    <row r="7" spans="1:2" x14ac:dyDescent="0.3">
      <c r="A7" s="9" t="s">
        <v>104</v>
      </c>
      <c r="B7" s="11">
        <v>124251.52000000002</v>
      </c>
    </row>
    <row r="8" spans="1:2" x14ac:dyDescent="0.3">
      <c r="A8" s="9" t="s">
        <v>15</v>
      </c>
      <c r="B8" s="11">
        <v>1242239.1200000006</v>
      </c>
    </row>
    <row r="9" spans="1:2" x14ac:dyDescent="0.3">
      <c r="A9" s="9" t="s">
        <v>44</v>
      </c>
      <c r="B9" s="11">
        <v>1341567.8799999994</v>
      </c>
    </row>
    <row r="10" spans="1:2" x14ac:dyDescent="0.3">
      <c r="A10" s="9" t="s">
        <v>112</v>
      </c>
      <c r="B10" s="11">
        <v>672058.85999999987</v>
      </c>
    </row>
    <row r="11" spans="1:2" x14ac:dyDescent="0.3">
      <c r="A11" s="9" t="s">
        <v>34</v>
      </c>
      <c r="B11" s="11">
        <v>273040.45999999996</v>
      </c>
    </row>
    <row r="12" spans="1:2" x14ac:dyDescent="0.3">
      <c r="A12" s="9" t="s">
        <v>49</v>
      </c>
      <c r="B12" s="11">
        <v>249290.24999999988</v>
      </c>
    </row>
    <row r="13" spans="1:2" x14ac:dyDescent="0.3">
      <c r="A13" s="9" t="s">
        <v>29</v>
      </c>
      <c r="B13" s="11">
        <v>223500.02000000002</v>
      </c>
    </row>
    <row r="14" spans="1:2" x14ac:dyDescent="0.3">
      <c r="A14" s="9" t="s">
        <v>1121</v>
      </c>
      <c r="B14" s="11">
        <v>5012021.68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Transactions</vt:lpstr>
      <vt:lpstr>KPIs</vt:lpstr>
      <vt:lpstr>PT_BudgetVsActual</vt:lpstr>
      <vt:lpstr>PT_Recurring</vt:lpstr>
      <vt:lpstr>PT_Trend</vt:lpstr>
      <vt:lpstr>PT_Category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Chitturi Gangadhar</cp:lastModifiedBy>
  <dcterms:created xsi:type="dcterms:W3CDTF">2026-07-11T09:12:36Z</dcterms:created>
  <dcterms:modified xsi:type="dcterms:W3CDTF">2026-07-24T11:36:51Z</dcterms:modified>
</cp:coreProperties>
</file>